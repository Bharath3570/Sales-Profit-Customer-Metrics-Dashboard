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Varuna\Desktop\MY DOC'S\"/>
    </mc:Choice>
  </mc:AlternateContent>
  <xr:revisionPtr revIDLastSave="0" documentId="8_{48B616B3-B362-478E-9330-C3EA7A2ED580}" xr6:coauthVersionLast="47" xr6:coauthVersionMax="47" xr10:uidLastSave="{00000000-0000-0000-0000-000000000000}"/>
  <bookViews>
    <workbookView xWindow="-108" yWindow="-108" windowWidth="23256" windowHeight="12456" activeTab="1" xr2:uid="{BCE64C4F-A7B2-411A-A9BF-D7BB2C6F11BB}"/>
  </bookViews>
  <sheets>
    <sheet name="pivot" sheetId="2" r:id="rId1"/>
    <sheet name="Dashboard" sheetId="3" r:id="rId2"/>
    <sheet name="Data" sheetId="1" r:id="rId3"/>
  </sheets>
  <definedNames>
    <definedName name="_xlchart.v2.0" hidden="1">pivot!$L$14:$L$18</definedName>
    <definedName name="_xlchart.v2.1" hidden="1">pivot!$M$13</definedName>
    <definedName name="_xlchart.v2.11" hidden="1">pivot!$L$14:$L$18</definedName>
    <definedName name="_xlchart.v2.12" hidden="1">pivot!$M$13</definedName>
    <definedName name="_xlchart.v2.13" hidden="1">pivot!$M$14:$M$18</definedName>
    <definedName name="_xlchart.v2.2" hidden="1">pivot!$M$14:$M$18</definedName>
    <definedName name="_xlchart.v5.10" hidden="1">pivot!$P$14:$P$18</definedName>
    <definedName name="_xlchart.v5.14" hidden="1">pivot!$O$13</definedName>
    <definedName name="_xlchart.v5.15" hidden="1">pivot!$O$14:$O$18</definedName>
    <definedName name="_xlchart.v5.16" hidden="1">pivot!$P$13</definedName>
    <definedName name="_xlchart.v5.17" hidden="1">pivot!$P$14:$P$18</definedName>
    <definedName name="_xlchart.v5.3" hidden="1">pivot!$O$13</definedName>
    <definedName name="_xlchart.v5.4" hidden="1">pivot!$O$14:$O$18</definedName>
    <definedName name="_xlchart.v5.5" hidden="1">pivot!$P$13</definedName>
    <definedName name="_xlchart.v5.6" hidden="1">pivot!$P$14:$P$18</definedName>
    <definedName name="_xlchart.v5.7" hidden="1">pivot!$O$13</definedName>
    <definedName name="_xlchart.v5.8" hidden="1">pivot!$O$14:$O$18</definedName>
    <definedName name="_xlchart.v5.9" hidden="1">pivot!$P$13</definedName>
    <definedName name="Slicer_Month">#N/A</definedName>
    <definedName name="Slicer_Quarter">#N/A</definedName>
  </definedNames>
  <calcPr calcId="191029" concurrentCalc="0"/>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0" i="2" l="1"/>
  <c r="S19" i="2"/>
  <c r="S18" i="2"/>
  <c r="S17" i="2"/>
  <c r="S12" i="2"/>
  <c r="S13" i="2"/>
  <c r="S10" i="2"/>
  <c r="S11" i="2"/>
  <c r="S8" i="2"/>
  <c r="S9" i="2"/>
  <c r="O15" i="2"/>
  <c r="P15" i="2"/>
  <c r="O16" i="2"/>
  <c r="P16" i="2"/>
  <c r="O17" i="2"/>
  <c r="P17" i="2"/>
  <c r="O18" i="2"/>
  <c r="P18" i="2"/>
  <c r="O14" i="2"/>
  <c r="P14" i="2"/>
  <c r="L15" i="2"/>
  <c r="M15" i="2"/>
  <c r="L16" i="2"/>
  <c r="M16" i="2"/>
  <c r="L17" i="2"/>
  <c r="M17" i="2"/>
  <c r="L18" i="2"/>
  <c r="M18" i="2"/>
  <c r="L14" i="2"/>
  <c r="M14" i="2"/>
  <c r="N2"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alcChain>
</file>

<file path=xl/sharedStrings.xml><?xml version="1.0" encoding="utf-8"?>
<sst xmlns="http://schemas.openxmlformats.org/spreadsheetml/2006/main" count="283" uniqueCount="60">
  <si>
    <t>Date</t>
  </si>
  <si>
    <t>Region</t>
  </si>
  <si>
    <t>Sales</t>
  </si>
  <si>
    <t>Profit</t>
  </si>
  <si>
    <t>Target Sales</t>
  </si>
  <si>
    <t>No of Customers</t>
  </si>
  <si>
    <t>Sales Completion Rate</t>
  </si>
  <si>
    <t>Profit Completion Rate</t>
  </si>
  <si>
    <t>Customer Completion Rate</t>
  </si>
  <si>
    <t>Country</t>
  </si>
  <si>
    <t>Customer Satisfaction</t>
  </si>
  <si>
    <t>Score</t>
  </si>
  <si>
    <t>East</t>
  </si>
  <si>
    <t>Argentina</t>
  </si>
  <si>
    <t>Speed</t>
  </si>
  <si>
    <t>West</t>
  </si>
  <si>
    <t>Colombia</t>
  </si>
  <si>
    <t>Quality</t>
  </si>
  <si>
    <t>South</t>
  </si>
  <si>
    <t>Brazil</t>
  </si>
  <si>
    <t>Hygiene</t>
  </si>
  <si>
    <t>Ecuador</t>
  </si>
  <si>
    <t>Peru</t>
  </si>
  <si>
    <t>Service</t>
  </si>
  <si>
    <t>North</t>
  </si>
  <si>
    <t>Availability</t>
  </si>
  <si>
    <t>Month</t>
  </si>
  <si>
    <t>Quarter</t>
  </si>
  <si>
    <t>Row Labels</t>
  </si>
  <si>
    <t>Jan</t>
  </si>
  <si>
    <t>Feb</t>
  </si>
  <si>
    <t>Mar</t>
  </si>
  <si>
    <t>Apr</t>
  </si>
  <si>
    <t>May</t>
  </si>
  <si>
    <t>Jun</t>
  </si>
  <si>
    <t>Jul</t>
  </si>
  <si>
    <t>Aug</t>
  </si>
  <si>
    <t>Sep</t>
  </si>
  <si>
    <t>Oct</t>
  </si>
  <si>
    <t>Nov</t>
  </si>
  <si>
    <t>Dec</t>
  </si>
  <si>
    <t>Grand Total</t>
  </si>
  <si>
    <t>Sum of Sales</t>
  </si>
  <si>
    <t>Sum of Target Sales</t>
  </si>
  <si>
    <t>Sales vs target sales per month</t>
  </si>
  <si>
    <t xml:space="preserve">Number of customer by month </t>
  </si>
  <si>
    <t>Sum of No of Customers</t>
  </si>
  <si>
    <t>Profit vs Sales by Region</t>
  </si>
  <si>
    <t>Sum of Profit</t>
  </si>
  <si>
    <t>Customer Satisfication Score</t>
  </si>
  <si>
    <t>Sum of Score</t>
  </si>
  <si>
    <t xml:space="preserve">Sales by County </t>
  </si>
  <si>
    <t>Average of Sales Completion Rate</t>
  </si>
  <si>
    <t>Average of Profit Completion Rate</t>
  </si>
  <si>
    <t>Average of Customer Completion Rate</t>
  </si>
  <si>
    <t>Values</t>
  </si>
  <si>
    <t>pending</t>
  </si>
  <si>
    <t>Metrics</t>
  </si>
  <si>
    <t>sales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</si>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</sst>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_ * #,##0_ ;_ * \-#,##0_ ;_ * &quot;-&quot;??_ ;_ @_ "/>
    <numFmt numFmtId="165" formatCode="0.0,&quot;k&quot;"/>
    <numFmt numFmtId="166" formatCode="_ &quot;₹&quot;\ * #,##0.0_ ;_ &quot;₹&quot;\ * \-#,##0.0_ ;_ &quot;₹&quot;\ * &quot;-&quot;??_ ;_ @_ "/>
  </numFmts>
  <fonts count="5" x14ac:knownFonts="1">
    <font>
      <sz val="11"/>
      <color theme="1"/>
      <name val="Aptos Narrow"/>
      <family val="2"/>
      <scheme val="minor"/>
    </font>
    <font>
      <sz val="11"/>
      <color theme="1"/>
      <name val="Aptos Narrow"/>
      <family val="2"/>
      <scheme val="minor"/>
    </font>
    <font>
      <sz val="11"/>
      <color rgb="FFFF0000"/>
      <name val="Aptos Narrow"/>
      <family val="2"/>
      <scheme val="minor"/>
    </font>
    <font>
      <sz val="11"/>
      <color theme="1"/>
      <name val="Calibri"/>
      <family val="2"/>
    </font>
    <font>
      <sz val="11"/>
      <color rgb="FFFFC000"/>
      <name val="Aptos Narrow"/>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2" fillId="2" borderId="0" xfId="0" applyFont="1" applyFill="1"/>
    <xf numFmtId="0" fontId="2" fillId="0" borderId="0" xfId="0" applyFont="1"/>
    <xf numFmtId="1" fontId="0" fillId="0" borderId="0" xfId="0" applyNumberFormat="1"/>
    <xf numFmtId="9" fontId="0" fillId="0" borderId="0" xfId="0" applyNumberFormat="1"/>
    <xf numFmtId="9" fontId="0" fillId="0" borderId="0" xfId="3" applyFont="1"/>
    <xf numFmtId="166" fontId="0" fillId="0" borderId="0" xfId="2" applyNumberFormat="1" applyFont="1"/>
    <xf numFmtId="0" fontId="3"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2" borderId="0" xfId="0" applyFont="1" applyFill="1" applyAlignment="1">
      <alignment horizontal="center"/>
    </xf>
    <xf numFmtId="0" fontId="0" fillId="0" borderId="0" xfId="0" applyNumberFormat="1"/>
    <xf numFmtId="0" fontId="4" fillId="0" borderId="0" xfId="0" applyFont="1"/>
  </cellXfs>
  <cellStyles count="4">
    <cellStyle name="Comma" xfId="1" builtinId="3"/>
    <cellStyle name="Currency" xfId="2" builtinId="4"/>
    <cellStyle name="Normal" xfId="0" builtinId="0"/>
    <cellStyle name="Percent" xfId="3" builtinId="5"/>
  </cellStyles>
  <dxfs count="55">
    <dxf>
      <numFmt numFmtId="165" formatCode="0.0,&quot;k&quot;"/>
    </dxf>
    <dxf>
      <numFmt numFmtId="0" formatCode="General"/>
    </dxf>
    <dxf>
      <numFmt numFmtId="0" formatCode="General"/>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0" formatCode="General"/>
    </dxf>
    <dxf>
      <numFmt numFmtId="0" formatCode="General"/>
    </dxf>
    <dxf>
      <numFmt numFmtId="0" formatCode="General"/>
    </dxf>
    <dxf>
      <numFmt numFmtId="0" formatCode="General"/>
    </dxf>
    <dxf>
      <numFmt numFmtId="0" formatCode="General"/>
    </dxf>
    <dxf>
      <numFmt numFmtId="165" formatCode="0.0,&quot;k&quot;"/>
    </dxf>
    <dxf>
      <numFmt numFmtId="165" formatCode="0.0,&quot;k&quot;"/>
    </dxf>
    <dxf>
      <numFmt numFmtId="165" formatCode="0.0,&quot;k&quot;"/>
    </dxf>
    <dxf>
      <numFmt numFmtId="165" formatCode="0.0,&quot;k&quot;"/>
    </dxf>
    <dxf>
      <numFmt numFmtId="165" formatCode="0.0,&quot;k&quot;"/>
    </dxf>
    <dxf>
      <numFmt numFmtId="0" formatCode="General"/>
    </dxf>
    <dxf>
      <numFmt numFmtId="0" formatCode="General"/>
    </dxf>
    <dxf>
      <numFmt numFmtId="165" formatCode="0.0,&quot;k&quot;"/>
    </dxf>
    <dxf>
      <numFmt numFmtId="165" formatCode="0.0,&quot;k&quot;"/>
    </dxf>
    <dxf>
      <numFmt numFmtId="165" formatCode="0.0,&quot;k&quot;"/>
    </dxf>
    <dxf>
      <numFmt numFmtId="165" formatCode="0.0,&quot;k&quot;"/>
    </dxf>
    <dxf>
      <numFmt numFmtId="1" formatCode="0"/>
    </dxf>
    <dxf>
      <numFmt numFmtId="165" formatCode="0.0,&quot;k&quot;"/>
    </dxf>
    <dxf>
      <numFmt numFmtId="165" formatCode="0.0,&quot;k&quot;"/>
    </dxf>
    <dxf>
      <numFmt numFmtId="13" formatCode="0%"/>
    </dxf>
    <dxf>
      <numFmt numFmtId="165" formatCode="0.0,&quot;k&quot;"/>
    </dxf>
    <dxf>
      <numFmt numFmtId="165" formatCode="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 * #,##0_ ;_ * \-#,##0_ ;_ * &quot;-&quot;??_ ;_ @_ "/>
    </dxf>
    <dxf>
      <numFmt numFmtId="164" formatCode="_ * #,##0_ ;_ * \-#,##0_ ;_ * &quot;-&quot;??_ ;_ @_ "/>
    </dxf>
    <dxf>
      <numFmt numFmtId="164" formatCode="_ * #,##0_ ;_ * \-#,##0_ ;_ * &quot;-&quot;??_ ;_ @_ "/>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42038495188095E-2"/>
          <c:y val="0.2572178477690289"/>
          <c:w val="0.64044446601678529"/>
          <c:h val="0.65890128317293672"/>
        </c:manualLayout>
      </c:layout>
      <c:barChart>
        <c:barDir val="col"/>
        <c:grouping val="clustered"/>
        <c:varyColors val="0"/>
        <c:ser>
          <c:idx val="0"/>
          <c:order val="0"/>
          <c:tx>
            <c:strRef>
              <c:f>pivot!$B$3</c:f>
              <c:strCache>
                <c:ptCount val="1"/>
                <c:pt idx="0">
                  <c:v>Sum of Sales</c:v>
                </c:pt>
              </c:strCache>
            </c:strRef>
          </c:tx>
          <c:spPr>
            <a:solidFill>
              <a:schemeClr val="accent1"/>
            </a:solidFill>
            <a:ln>
              <a:noFill/>
            </a:ln>
            <a:effectLst/>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0.0,"k"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extLst>
            <c:ext xmlns:c16="http://schemas.microsoft.com/office/drawing/2014/chart" uri="{C3380CC4-5D6E-409C-BE32-E72D297353CC}">
              <c16:uniqueId val="{00000000-9740-4091-8D03-31F821E1C32D}"/>
            </c:ext>
          </c:extLst>
        </c:ser>
        <c:ser>
          <c:idx val="1"/>
          <c:order val="1"/>
          <c:tx>
            <c:strRef>
              <c:f>pivot!$C$3</c:f>
              <c:strCache>
                <c:ptCount val="1"/>
                <c:pt idx="0">
                  <c:v>Sum of Target Sales</c:v>
                </c:pt>
              </c:strCache>
            </c:strRef>
          </c:tx>
          <c:spPr>
            <a:solidFill>
              <a:schemeClr val="accent2"/>
            </a:solidFill>
            <a:ln>
              <a:noFill/>
            </a:ln>
            <a:effectLst/>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0.0,"k"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extLst>
            <c:ext xmlns:c16="http://schemas.microsoft.com/office/drawing/2014/chart" uri="{C3380CC4-5D6E-409C-BE32-E72D297353CC}">
              <c16:uniqueId val="{00000002-9740-4091-8D03-31F821E1C32D}"/>
            </c:ext>
          </c:extLst>
        </c:ser>
        <c:dLbls>
          <c:showLegendKey val="0"/>
          <c:showVal val="0"/>
          <c:showCatName val="0"/>
          <c:showSerName val="0"/>
          <c:showPercent val="0"/>
          <c:showBubbleSize val="0"/>
        </c:dLbls>
        <c:gapWidth val="219"/>
        <c:overlap val="-27"/>
        <c:axId val="579949760"/>
        <c:axId val="579954080"/>
      </c:barChart>
      <c:catAx>
        <c:axId val="57994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954080"/>
        <c:crosses val="autoZero"/>
        <c:auto val="1"/>
        <c:lblAlgn val="ctr"/>
        <c:lblOffset val="100"/>
        <c:noMultiLvlLbl val="0"/>
      </c:catAx>
      <c:valAx>
        <c:axId val="57995408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9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357644495856359"/>
          <c:y val="0.24115740740740746"/>
          <c:w val="0.58104742559949574"/>
          <c:h val="0.671457786526684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A1-4029-9559-565F598C47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A1-4029-9559-565F598C475B}"/>
              </c:ext>
            </c:extLst>
          </c:dPt>
          <c:cat>
            <c:strRef>
              <c:f>pivot!$R$8:$R$9</c:f>
              <c:strCache>
                <c:ptCount val="2"/>
                <c:pt idx="0">
                  <c:v>Average of Sales Completion Rate</c:v>
                </c:pt>
                <c:pt idx="1">
                  <c:v>pending</c:v>
                </c:pt>
              </c:strCache>
            </c:strRef>
          </c:cat>
          <c:val>
            <c:numRef>
              <c:f>pivot!$S$8:$S$9</c:f>
              <c:numCache>
                <c:formatCode>0%</c:formatCode>
                <c:ptCount val="2"/>
                <c:pt idx="0">
                  <c:v>0.85555555555555574</c:v>
                </c:pt>
                <c:pt idx="1">
                  <c:v>0.14444444444444426</c:v>
                </c:pt>
              </c:numCache>
            </c:numRef>
          </c:val>
          <c:extLst>
            <c:ext xmlns:c16="http://schemas.microsoft.com/office/drawing/2014/chart" uri="{C3380CC4-5D6E-409C-BE32-E72D297353CC}">
              <c16:uniqueId val="{00000000-8993-4649-A689-C2E75733E6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c:name>
    <c:fmtId val="1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pivot!$B$3</c:f>
              <c:strCache>
                <c:ptCount val="1"/>
                <c:pt idx="0">
                  <c:v>Sum of Sales</c:v>
                </c:pt>
              </c:strCache>
            </c:strRef>
          </c:tx>
          <c:spPr>
            <a:solidFill>
              <a:schemeClr val="accent1"/>
            </a:solidFill>
            <a:ln>
              <a:noFill/>
            </a:ln>
            <a:effectLst/>
            <a:sp3d/>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0.0,"k"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extLst>
            <c:ext xmlns:c16="http://schemas.microsoft.com/office/drawing/2014/chart" uri="{C3380CC4-5D6E-409C-BE32-E72D297353CC}">
              <c16:uniqueId val="{00000000-AB79-4ED1-950A-C8B96B6E8148}"/>
            </c:ext>
          </c:extLst>
        </c:ser>
        <c:ser>
          <c:idx val="1"/>
          <c:order val="1"/>
          <c:tx>
            <c:strRef>
              <c:f>pivot!$C$3</c:f>
              <c:strCache>
                <c:ptCount val="1"/>
                <c:pt idx="0">
                  <c:v>Sum of Target Sales</c:v>
                </c:pt>
              </c:strCache>
            </c:strRef>
          </c:tx>
          <c:spPr>
            <a:solidFill>
              <a:schemeClr val="accent2"/>
            </a:solidFill>
            <a:ln>
              <a:noFill/>
            </a:ln>
            <a:effectLst/>
            <a:sp3d/>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0.0,"k"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extLst>
            <c:ext xmlns:c16="http://schemas.microsoft.com/office/drawing/2014/chart" uri="{C3380CC4-5D6E-409C-BE32-E72D297353CC}">
              <c16:uniqueId val="{00000001-AB79-4ED1-950A-C8B96B6E8148}"/>
            </c:ext>
          </c:extLst>
        </c:ser>
        <c:dLbls>
          <c:showLegendKey val="0"/>
          <c:showVal val="0"/>
          <c:showCatName val="0"/>
          <c:showSerName val="0"/>
          <c:showPercent val="0"/>
          <c:showBubbleSize val="0"/>
        </c:dLbls>
        <c:gapWidth val="150"/>
        <c:shape val="box"/>
        <c:axId val="1629992175"/>
        <c:axId val="1629992655"/>
        <c:axId val="0"/>
      </c:bar3DChart>
      <c:catAx>
        <c:axId val="162999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992655"/>
        <c:crosses val="autoZero"/>
        <c:auto val="1"/>
        <c:lblAlgn val="ctr"/>
        <c:lblOffset val="100"/>
        <c:noMultiLvlLbl val="0"/>
      </c:catAx>
      <c:valAx>
        <c:axId val="1629992655"/>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99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pivot!$F$3</c:f>
              <c:strCache>
                <c:ptCount val="1"/>
                <c:pt idx="0">
                  <c:v>Total</c:v>
                </c:pt>
              </c:strCache>
            </c:strRef>
          </c:tx>
          <c:spPr>
            <a:ln w="28575" cap="rnd">
              <a:solidFill>
                <a:schemeClr val="accent1"/>
              </a:solidFill>
              <a:round/>
            </a:ln>
            <a:effectLst/>
          </c:spPr>
          <c:marker>
            <c:symbol val="none"/>
          </c:marker>
          <c:cat>
            <c:strRef>
              <c:f>pivot!$E$4:$E$16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pivot!$F$4:$F$16</c:f>
              <c:numCache>
                <c:formatCode>General</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smooth val="0"/>
          <c:extLst>
            <c:ext xmlns:c16="http://schemas.microsoft.com/office/drawing/2014/chart" uri="{C3380CC4-5D6E-409C-BE32-E72D297353CC}">
              <c16:uniqueId val="{00000000-FA40-4C22-B348-3629CB7C7C9C}"/>
            </c:ext>
          </c:extLst>
        </c:ser>
        <c:dLbls>
          <c:showLegendKey val="0"/>
          <c:showVal val="0"/>
          <c:showCatName val="0"/>
          <c:showSerName val="0"/>
          <c:showPercent val="0"/>
          <c:showBubbleSize val="0"/>
        </c:dLbls>
        <c:smooth val="0"/>
        <c:axId val="1297524640"/>
        <c:axId val="1297525120"/>
      </c:lineChart>
      <c:catAx>
        <c:axId val="129752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25120"/>
        <c:crosses val="autoZero"/>
        <c:auto val="1"/>
        <c:lblAlgn val="ctr"/>
        <c:lblOffset val="100"/>
        <c:noMultiLvlLbl val="0"/>
      </c:catAx>
      <c:valAx>
        <c:axId val="129752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2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pivot!$I$3</c:f>
              <c:strCache>
                <c:ptCount val="1"/>
                <c:pt idx="0">
                  <c:v>Sum of Profit</c:v>
                </c:pt>
              </c:strCache>
            </c:strRef>
          </c:tx>
          <c:spPr>
            <a:solidFill>
              <a:schemeClr val="accent1"/>
            </a:solidFill>
            <a:ln>
              <a:noFill/>
            </a:ln>
            <a:effectLst/>
          </c:spPr>
          <c:invertIfNegative val="0"/>
          <c:cat>
            <c:strRef>
              <c:f>pivot!$H$4:$H$8</c:f>
              <c:strCache>
                <c:ptCount val="4"/>
                <c:pt idx="0">
                  <c:v>East</c:v>
                </c:pt>
                <c:pt idx="1">
                  <c:v>South</c:v>
                </c:pt>
                <c:pt idx="2">
                  <c:v>West</c:v>
                </c:pt>
                <c:pt idx="3">
                  <c:v>North</c:v>
                </c:pt>
              </c:strCache>
            </c:strRef>
          </c:cat>
          <c:val>
            <c:numRef>
              <c:f>pivot!$I$4:$I$8</c:f>
              <c:numCache>
                <c:formatCode>0.0,"k"</c:formatCode>
                <c:ptCount val="4"/>
                <c:pt idx="0">
                  <c:v>45042.857142857159</c:v>
                </c:pt>
                <c:pt idx="1">
                  <c:v>29742.857142857156</c:v>
                </c:pt>
                <c:pt idx="2">
                  <c:v>25300.857142857149</c:v>
                </c:pt>
                <c:pt idx="3">
                  <c:v>13214.285714285725</c:v>
                </c:pt>
              </c:numCache>
            </c:numRef>
          </c:val>
          <c:extLst>
            <c:ext xmlns:c16="http://schemas.microsoft.com/office/drawing/2014/chart" uri="{C3380CC4-5D6E-409C-BE32-E72D297353CC}">
              <c16:uniqueId val="{00000000-C2D5-49A4-825E-64F1C669F864}"/>
            </c:ext>
          </c:extLst>
        </c:ser>
        <c:ser>
          <c:idx val="1"/>
          <c:order val="1"/>
          <c:tx>
            <c:strRef>
              <c:f>pivot!$J$3</c:f>
              <c:strCache>
                <c:ptCount val="1"/>
                <c:pt idx="0">
                  <c:v>Sum of Sales</c:v>
                </c:pt>
              </c:strCache>
            </c:strRef>
          </c:tx>
          <c:spPr>
            <a:solidFill>
              <a:schemeClr val="accent2"/>
            </a:solidFill>
            <a:ln>
              <a:noFill/>
            </a:ln>
            <a:effectLst/>
          </c:spPr>
          <c:invertIfNegative val="0"/>
          <c:cat>
            <c:strRef>
              <c:f>pivot!$H$4:$H$8</c:f>
              <c:strCache>
                <c:ptCount val="4"/>
                <c:pt idx="0">
                  <c:v>East</c:v>
                </c:pt>
                <c:pt idx="1">
                  <c:v>South</c:v>
                </c:pt>
                <c:pt idx="2">
                  <c:v>West</c:v>
                </c:pt>
                <c:pt idx="3">
                  <c:v>North</c:v>
                </c:pt>
              </c:strCache>
            </c:strRef>
          </c:cat>
          <c:val>
            <c:numRef>
              <c:f>pivot!$J$4:$J$8</c:f>
              <c:numCache>
                <c:formatCode>0.0,"k"</c:formatCode>
                <c:ptCount val="4"/>
                <c:pt idx="0">
                  <c:v>50045</c:v>
                </c:pt>
                <c:pt idx="1">
                  <c:v>46112</c:v>
                </c:pt>
                <c:pt idx="2">
                  <c:v>38283</c:v>
                </c:pt>
                <c:pt idx="3">
                  <c:v>22921</c:v>
                </c:pt>
              </c:numCache>
            </c:numRef>
          </c:val>
          <c:extLst>
            <c:ext xmlns:c16="http://schemas.microsoft.com/office/drawing/2014/chart" uri="{C3380CC4-5D6E-409C-BE32-E72D297353CC}">
              <c16:uniqueId val="{00000001-C2D5-49A4-825E-64F1C669F864}"/>
            </c:ext>
          </c:extLst>
        </c:ser>
        <c:dLbls>
          <c:showLegendKey val="0"/>
          <c:showVal val="0"/>
          <c:showCatName val="0"/>
          <c:showSerName val="0"/>
          <c:showPercent val="0"/>
          <c:showBubbleSize val="0"/>
        </c:dLbls>
        <c:gapWidth val="150"/>
        <c:overlap val="100"/>
        <c:axId val="1778187872"/>
        <c:axId val="1778193152"/>
      </c:barChart>
      <c:catAx>
        <c:axId val="177818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93152"/>
        <c:crosses val="autoZero"/>
        <c:auto val="1"/>
        <c:lblAlgn val="ctr"/>
        <c:lblOffset val="100"/>
        <c:noMultiLvlLbl val="0"/>
      </c:catAx>
      <c:valAx>
        <c:axId val="1778193152"/>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8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84FB-4E67-BF31-5570F45627F4}"/>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84FB-4E67-BF31-5570F45627F4}"/>
              </c:ext>
            </c:extLst>
          </c:dPt>
          <c:cat>
            <c:strRef>
              <c:f>pivot!$R$8:$R$9</c:f>
              <c:strCache>
                <c:ptCount val="2"/>
                <c:pt idx="0">
                  <c:v>Average of Sales Completion Rate</c:v>
                </c:pt>
                <c:pt idx="1">
                  <c:v>pending</c:v>
                </c:pt>
              </c:strCache>
            </c:strRef>
          </c:cat>
          <c:val>
            <c:numRef>
              <c:f>pivot!$S$8:$S$9</c:f>
              <c:numCache>
                <c:formatCode>0%</c:formatCode>
                <c:ptCount val="2"/>
                <c:pt idx="0">
                  <c:v>0.85555555555555574</c:v>
                </c:pt>
                <c:pt idx="1">
                  <c:v>0.14444444444444426</c:v>
                </c:pt>
              </c:numCache>
            </c:numRef>
          </c:val>
          <c:extLst>
            <c:ext xmlns:c16="http://schemas.microsoft.com/office/drawing/2014/chart" uri="{C3380CC4-5D6E-409C-BE32-E72D297353CC}">
              <c16:uniqueId val="{00000004-84FB-4E67-BF31-5570F45627F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F1C2-4656-A219-221C84BF0CF1}"/>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9-F1C2-4656-A219-221C84BF0CF1}"/>
              </c:ext>
            </c:extLst>
          </c:dPt>
          <c:cat>
            <c:strRef>
              <c:f>pivot!$R$8:$R$9</c:f>
              <c:strCache>
                <c:ptCount val="2"/>
                <c:pt idx="0">
                  <c:v>Average of Sales Completion Rate</c:v>
                </c:pt>
                <c:pt idx="1">
                  <c:v>pending</c:v>
                </c:pt>
              </c:strCache>
            </c:strRef>
          </c:cat>
          <c:val>
            <c:numRef>
              <c:f>pivot!$S$8:$S$9</c:f>
              <c:numCache>
                <c:formatCode>0%</c:formatCode>
                <c:ptCount val="2"/>
                <c:pt idx="0">
                  <c:v>0.85555555555555574</c:v>
                </c:pt>
                <c:pt idx="1">
                  <c:v>0.14444444444444426</c:v>
                </c:pt>
              </c:numCache>
            </c:numRef>
          </c:val>
          <c:extLst>
            <c:ext xmlns:c16="http://schemas.microsoft.com/office/drawing/2014/chart" uri="{C3380CC4-5D6E-409C-BE32-E72D297353CC}">
              <c16:uniqueId val="{0000000A-F1C2-4656-A219-221C84BF0CF1}"/>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E187-4494-AD62-DEB2D55432B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E187-4494-AD62-DEB2D55432BC}"/>
              </c:ext>
            </c:extLst>
          </c:dPt>
          <c:cat>
            <c:strRef>
              <c:f>pivot!$R$8:$R$9</c:f>
              <c:strCache>
                <c:ptCount val="2"/>
                <c:pt idx="0">
                  <c:v>Average of Sales Completion Rate</c:v>
                </c:pt>
                <c:pt idx="1">
                  <c:v>pending</c:v>
                </c:pt>
              </c:strCache>
            </c:strRef>
          </c:cat>
          <c:val>
            <c:numRef>
              <c:f>pivot!$S$8:$S$9</c:f>
              <c:numCache>
                <c:formatCode>0%</c:formatCode>
                <c:ptCount val="2"/>
                <c:pt idx="0">
                  <c:v>0.85555555555555574</c:v>
                </c:pt>
                <c:pt idx="1">
                  <c:v>0.14444444444444426</c:v>
                </c:pt>
              </c:numCache>
            </c:numRef>
          </c:val>
          <c:extLst>
            <c:ext xmlns:c16="http://schemas.microsoft.com/office/drawing/2014/chart" uri="{C3380CC4-5D6E-409C-BE32-E72D297353CC}">
              <c16:uniqueId val="{00000004-E187-4494-AD62-DEB2D55432B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7318-4B28-8144-02A6E13231CE}"/>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318-4B28-8144-02A6E13231CE}"/>
              </c:ext>
            </c:extLst>
          </c:dPt>
          <c:cat>
            <c:strRef>
              <c:f>pivot!$R$8:$R$9</c:f>
              <c:strCache>
                <c:ptCount val="2"/>
                <c:pt idx="0">
                  <c:v>Average of Sales Completion Rate</c:v>
                </c:pt>
                <c:pt idx="1">
                  <c:v>pending</c:v>
                </c:pt>
              </c:strCache>
            </c:strRef>
          </c:cat>
          <c:val>
            <c:numRef>
              <c:f>pivot!$S$8:$S$9</c:f>
              <c:numCache>
                <c:formatCode>0%</c:formatCode>
                <c:ptCount val="2"/>
                <c:pt idx="0">
                  <c:v>0.85555555555555574</c:v>
                </c:pt>
                <c:pt idx="1">
                  <c:v>0.14444444444444426</c:v>
                </c:pt>
              </c:numCache>
            </c:numRef>
          </c:val>
          <c:extLst>
            <c:ext xmlns:c16="http://schemas.microsoft.com/office/drawing/2014/chart" uri="{C3380CC4-5D6E-409C-BE32-E72D297353CC}">
              <c16:uniqueId val="{00000004-7318-4B28-8144-02A6E13231CE}"/>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vs Target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50000"/>
              </a:schemeClr>
            </a:solidFill>
          </a:ln>
          <a:effectLst/>
          <a:sp3d>
            <a:contourClr>
              <a:schemeClr val="accent1">
                <a:lumMod val="50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pivot!$B$3</c:f>
              <c:strCache>
                <c:ptCount val="1"/>
                <c:pt idx="0">
                  <c:v>Sum of Sales</c:v>
                </c:pt>
              </c:strCache>
            </c:strRef>
          </c:tx>
          <c:spPr>
            <a:solidFill>
              <a:schemeClr val="accent1"/>
            </a:solidFill>
            <a:ln>
              <a:solidFill>
                <a:schemeClr val="accent1">
                  <a:lumMod val="50000"/>
                </a:schemeClr>
              </a:solidFill>
            </a:ln>
            <a:effectLst/>
            <a:sp3d>
              <a:contourClr>
                <a:schemeClr val="accent1">
                  <a:lumMod val="50000"/>
                </a:schemeClr>
              </a:contourClr>
            </a:sp3d>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0.0,"k"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extLst>
            <c:ext xmlns:c16="http://schemas.microsoft.com/office/drawing/2014/chart" uri="{C3380CC4-5D6E-409C-BE32-E72D297353CC}">
              <c16:uniqueId val="{00000000-8A76-454D-9F99-D056C8B49847}"/>
            </c:ext>
          </c:extLst>
        </c:ser>
        <c:ser>
          <c:idx val="1"/>
          <c:order val="1"/>
          <c:tx>
            <c:strRef>
              <c:f>pivot!$C$3</c:f>
              <c:strCache>
                <c:ptCount val="1"/>
                <c:pt idx="0">
                  <c:v>Sum of Target Sales</c:v>
                </c:pt>
              </c:strCache>
            </c:strRef>
          </c:tx>
          <c:spPr>
            <a:solidFill>
              <a:schemeClr val="tx1">
                <a:lumMod val="50000"/>
                <a:lumOff val="50000"/>
              </a:schemeClr>
            </a:solidFill>
            <a:ln>
              <a:noFill/>
            </a:ln>
            <a:effectLst/>
            <a:sp3d/>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0.0,"k"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extLst>
            <c:ext xmlns:c16="http://schemas.microsoft.com/office/drawing/2014/chart" uri="{C3380CC4-5D6E-409C-BE32-E72D297353CC}">
              <c16:uniqueId val="{00000001-8A76-454D-9F99-D056C8B49847}"/>
            </c:ext>
          </c:extLst>
        </c:ser>
        <c:dLbls>
          <c:showLegendKey val="0"/>
          <c:showVal val="0"/>
          <c:showCatName val="0"/>
          <c:showSerName val="0"/>
          <c:showPercent val="0"/>
          <c:showBubbleSize val="0"/>
        </c:dLbls>
        <c:gapWidth val="77"/>
        <c:gapDepth val="240"/>
        <c:shape val="box"/>
        <c:axId val="1629992175"/>
        <c:axId val="1629992655"/>
        <c:axId val="0"/>
      </c:bar3DChart>
      <c:catAx>
        <c:axId val="16299921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992655"/>
        <c:crosses val="autoZero"/>
        <c:auto val="1"/>
        <c:lblAlgn val="ctr"/>
        <c:lblOffset val="100"/>
        <c:noMultiLvlLbl val="0"/>
      </c:catAx>
      <c:valAx>
        <c:axId val="1629992655"/>
        <c:scaling>
          <c:orientation val="minMax"/>
        </c:scaling>
        <c:delete val="0"/>
        <c:axPos val="l"/>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992175"/>
        <c:crosses val="autoZero"/>
        <c:crossBetween val="between"/>
      </c:valAx>
      <c:spPr>
        <a:noFill/>
        <a:ln>
          <a:noFill/>
        </a:ln>
        <a:effectLst/>
      </c:spPr>
    </c:plotArea>
    <c:legend>
      <c:legendPos val="r"/>
      <c:layout>
        <c:manualLayout>
          <c:xMode val="edge"/>
          <c:yMode val="edge"/>
          <c:x val="0.70373951312627958"/>
          <c:y val="9.7398006780719068E-2"/>
          <c:w val="0.23815772188361017"/>
          <c:h val="0.1248027337175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Count by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pivot!$F$3</c:f>
              <c:strCache>
                <c:ptCount val="1"/>
                <c:pt idx="0">
                  <c:v>Total</c:v>
                </c:pt>
              </c:strCache>
            </c:strRef>
          </c:tx>
          <c:spPr>
            <a:ln w="28575" cap="rnd">
              <a:solidFill>
                <a:schemeClr val="accent1"/>
              </a:solidFill>
              <a:round/>
            </a:ln>
            <a:effectLst/>
          </c:spPr>
          <c:marker>
            <c:symbol val="none"/>
          </c:marker>
          <c:cat>
            <c:strRef>
              <c:f>pivot!$E$4:$E$16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pivot!$F$4:$F$16</c:f>
              <c:numCache>
                <c:formatCode>General</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smooth val="0"/>
          <c:extLst>
            <c:ext xmlns:c16="http://schemas.microsoft.com/office/drawing/2014/chart" uri="{C3380CC4-5D6E-409C-BE32-E72D297353CC}">
              <c16:uniqueId val="{00000000-A985-4AE8-AB5F-F4ACAF51666C}"/>
            </c:ext>
          </c:extLst>
        </c:ser>
        <c:dLbls>
          <c:showLegendKey val="0"/>
          <c:showVal val="0"/>
          <c:showCatName val="0"/>
          <c:showSerName val="0"/>
          <c:showPercent val="0"/>
          <c:showBubbleSize val="0"/>
        </c:dLbls>
        <c:smooth val="0"/>
        <c:axId val="1297524640"/>
        <c:axId val="1297525120"/>
      </c:lineChart>
      <c:catAx>
        <c:axId val="1297524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25120"/>
        <c:crosses val="autoZero"/>
        <c:auto val="1"/>
        <c:lblAlgn val="ctr"/>
        <c:lblOffset val="100"/>
        <c:noMultiLvlLbl val="0"/>
      </c:catAx>
      <c:valAx>
        <c:axId val="12975251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2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pivot!$I$3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pivot!$H$4:$H$8</c:f>
              <c:strCache>
                <c:ptCount val="4"/>
                <c:pt idx="0">
                  <c:v>East</c:v>
                </c:pt>
                <c:pt idx="1">
                  <c:v>South</c:v>
                </c:pt>
                <c:pt idx="2">
                  <c:v>West</c:v>
                </c:pt>
                <c:pt idx="3">
                  <c:v>North</c:v>
                </c:pt>
              </c:strCache>
            </c:strRef>
          </c:cat>
          <c:val>
            <c:numRef>
              <c:f>pivot!$I$4:$I$8</c:f>
              <c:numCache>
                <c:formatCode>0.0,"k"</c:formatCode>
                <c:ptCount val="4"/>
                <c:pt idx="0">
                  <c:v>45042.857142857159</c:v>
                </c:pt>
                <c:pt idx="1">
                  <c:v>29742.857142857156</c:v>
                </c:pt>
                <c:pt idx="2">
                  <c:v>25300.857142857149</c:v>
                </c:pt>
                <c:pt idx="3">
                  <c:v>13214.285714285725</c:v>
                </c:pt>
              </c:numCache>
            </c:numRef>
          </c:val>
          <c:extLst>
            <c:ext xmlns:c16="http://schemas.microsoft.com/office/drawing/2014/chart" uri="{C3380CC4-5D6E-409C-BE32-E72D297353CC}">
              <c16:uniqueId val="{00000000-783D-4855-952B-2F6A5D2BE228}"/>
            </c:ext>
          </c:extLst>
        </c:ser>
        <c:ser>
          <c:idx val="1"/>
          <c:order val="1"/>
          <c:tx>
            <c:strRef>
              <c:f>pivot!$J$3</c:f>
              <c:strCache>
                <c:ptCount val="1"/>
                <c:pt idx="0">
                  <c:v>Sum of Sales</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pivot!$H$4:$H$8</c:f>
              <c:strCache>
                <c:ptCount val="4"/>
                <c:pt idx="0">
                  <c:v>East</c:v>
                </c:pt>
                <c:pt idx="1">
                  <c:v>South</c:v>
                </c:pt>
                <c:pt idx="2">
                  <c:v>West</c:v>
                </c:pt>
                <c:pt idx="3">
                  <c:v>North</c:v>
                </c:pt>
              </c:strCache>
            </c:strRef>
          </c:cat>
          <c:val>
            <c:numRef>
              <c:f>pivot!$J$4:$J$8</c:f>
              <c:numCache>
                <c:formatCode>0.0,"k"</c:formatCode>
                <c:ptCount val="4"/>
                <c:pt idx="0">
                  <c:v>50045</c:v>
                </c:pt>
                <c:pt idx="1">
                  <c:v>46112</c:v>
                </c:pt>
                <c:pt idx="2">
                  <c:v>38283</c:v>
                </c:pt>
                <c:pt idx="3">
                  <c:v>22921</c:v>
                </c:pt>
              </c:numCache>
            </c:numRef>
          </c:val>
          <c:extLst>
            <c:ext xmlns:c16="http://schemas.microsoft.com/office/drawing/2014/chart" uri="{C3380CC4-5D6E-409C-BE32-E72D297353CC}">
              <c16:uniqueId val="{00000001-783D-4855-952B-2F6A5D2BE228}"/>
            </c:ext>
          </c:extLst>
        </c:ser>
        <c:dLbls>
          <c:dLblPos val="ctr"/>
          <c:showLegendKey val="0"/>
          <c:showVal val="1"/>
          <c:showCatName val="0"/>
          <c:showSerName val="0"/>
          <c:showPercent val="0"/>
          <c:showBubbleSize val="0"/>
        </c:dLbls>
        <c:gapWidth val="70"/>
        <c:overlap val="100"/>
        <c:axId val="1778187872"/>
        <c:axId val="1778193152"/>
      </c:barChart>
      <c:catAx>
        <c:axId val="17781878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93152"/>
        <c:crosses val="autoZero"/>
        <c:auto val="1"/>
        <c:lblAlgn val="ctr"/>
        <c:lblOffset val="100"/>
        <c:noMultiLvlLbl val="0"/>
      </c:catAx>
      <c:valAx>
        <c:axId val="1778193152"/>
        <c:scaling>
          <c:orientation val="minMax"/>
        </c:scaling>
        <c:delete val="0"/>
        <c:axPos val="b"/>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87872"/>
        <c:crosses val="autoZero"/>
        <c:crossBetween val="between"/>
      </c:valAx>
      <c:spPr>
        <a:noFill/>
        <a:ln>
          <a:noFill/>
        </a:ln>
        <a:effectLst/>
      </c:spPr>
    </c:plotArea>
    <c:legend>
      <c:legendPos val="r"/>
      <c:layout>
        <c:manualLayout>
          <c:xMode val="edge"/>
          <c:yMode val="edge"/>
          <c:x val="0.79993343669549566"/>
          <c:y val="0.1914167315676982"/>
          <c:w val="0.18284957822905459"/>
          <c:h val="0.1769289168505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840EC479-4420-4FB8-9776-B6665E531E26}">
          <cx:tx>
            <cx:txData>
              <cx:f>_xlchart.v2.1</cx:f>
              <cx:v>Sum of Score</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plotArea>
      <cx:plotAreaRegion>
        <cx:series layoutId="regionMap" uniqueId="{437262A3-087B-46AA-90A6-102B938C746E}">
          <cx:tx>
            <cx:txData>
              <cx:f>_xlchart.v5.5</cx:f>
              <cx:v>Sum of Sales</cx:v>
            </cx:txData>
          </cx:tx>
          <cx:dataId val="0"/>
          <cx:layoutPr>
            <cx:geography cultureLanguage="en-US" cultureRegion="IN" attribution="Powered by Bing">
              <cx:geoCache provider="{E9337A44-BEBE-4D9F-B70C-5C5E7DAFC167}">
                <cx:binary>zHxrj924kfZfGcznVx6KdwXJAiudS19tt++eL0K73RZFkaIupETp12/1OJPYyiTOCgH2bQxgTJ9W
HapYT1Wx6mH9+SH+6cE83g8/RWva8U8P8S8/K++7P/3yy/igHu39+MzWD4Mb3Rf/7MHZX9yXL/XD
4y+fh/u5bqtfMErpLw/qfvCP8ef/+jNIqx7djXu497Vr78LjsLx6HIPx47/47A8/+unBhdY/PV6B
pL/8nA/3a21+/umx9bVf3izd419+/u5Pfv7pl62gf/jSnwysy4fP8GySomfktx+Ef/7JuLb6/QNG
nmH09CP4b/88ff71W5/fW3jyxyv5bR33nz8Pj+P401///ftz363677+uR1d8feXCPS0wf/XbG/3y
vUr/68+bX8A7bn7zjda3CvnRR1ul//dQPb15e/+7Bv4Deif0WZZxmskUZb/9iO/Vz+FzLrBk6V/V
T37/8q/q/7fW9Mc78M2jm0345pPtPvz3/wf7UDjj7Kf6P7gN9NmT9lOegXa/NX6Bn2VIypRQ+dX4
+ffa/3dW8sfK//uTG93//YOt6osX//cQOD6E+89u+F0L/wEApOB3MsG5oBvVZ88I5zzL8Ff3g9Lf
v/Sr4f8bK/ljzf/twY3i//b7rd6Pxf+93l8+DuH39/8PKJ0/k6BZnkn61azRVvnsGaJMMszZV68E
n3/r9H+0nD/W/NenNmr/+sutzl8e/xM6/+eh4G+x8HDv74+/BdFvosG//vS3l4O4vnn0X8Xir7q7
/PyXn1Mw479F5icJ3+n1G8f7/SOP96OHKA3BmFOIFBJhTDnKiPz5p/nxt48EecaYpLCvRFLBGYc4
3brBK3gMp8+EzGCvUwjjCFwZPDa68NtnDLaaCcEzIRjJEMfsb4nLS2eWyrV/08Zf//+nNtiXrm79
+JefwS66r3/19HLwRVRQgTKB4PcP968gJ4I/Sv8f7YMrXanMsTLh/Zotn8rw7htF/PuSefa9ZMMq
5GkAySkXua5jvg4y3ycatPLtout18bSPpDkumXiJSPLSpCTZKRvC+reyuyBwWzZlc0QzWW8dw7Eo
F8MP+1YOYelb6WWaitHUsjmm0wk5VlT18BVQX9On/4W62feSnUY6LjJtjmtsp6u1ReFgmiV7vW/d
T+bzjZngcljnVjhz7OZBFDXV64En9P0+4RDLvxUuFiVmymNzDLbhF1Xr72fUyJ16AXR9K3yVY017
gcyRjH1eVutNPVQX+9YNHuJb0ayNUXrkzdFk52y8N/VO5GwwCdvWdRllzXGsRvx8ZG14ILpG8Wu4
+99aCtsAs5STkLoO5hgWcglHlzcNEztFb4Ap+rmfuWnNUcsQr50O6W0pk+e71M02yGRe0DAsoBaF
H/quKnjF9mGebVHJeRmFxrCRus15J01OE2t2Ct8As57GZqRONMe661+UeKouWBfRaZ9ONrhERLpu
TDtzHJbFPKyDrS5HjbPLfdI3wKSGNtFNozmyD2tXkG6nRjaQLCF9WWoNYuexa/Mh7XVB13Qf3tkG
lC2RvBctWEkV9XmoZpzbKe5d+QaZU5P6rq8Hc5xENeYm1mUxy9DvUzfdAFO1plyrGYKDzAw4FFkX
kHwP+5RON9BcrV3nalzNUVS1PVDG23wR3u9c+gabHIdgVwfSO30zhjeuu9plgXSDTIppq9dkMcca
T7e2NDof2u7rcet/6wfpBpicrAplK9VHScmla6y9V46RX/ctfAPMnstxjDPRR8158+vA0djk2Ti0
+3BPN8hcLar7mnJ9LMf6tM6OXixpEs/71r7Bp3FLSCsEisHGuEPJ2uZi4n5njKAbgOqUIt9qWx6G
ocsRnQs8fd637g06oRrTa1V7fRwDHXMW6GdSTvvgQzbYbP2qE6NkfZQdOtjY/apSPe+UvYFmWjLR
r6TXxxRzmtfDeGGF7Q67lEI2yPST8MswwMKbubqyhOnc6OZun+wNOiepWosZLFyDWETat6O1L/eJ
3oCzjURksgXRg/Di0hNxhYYo9qGHbMDZmEXRYQThVumcscNAd656A8s40nGwEM+Oi5kLhcF5c6HT
nWaygeWo3bAgrsBM+oQWo0L0yLPl7T59b1BpyqRrm2D1kWtDzblMs4V9FG523b7sjWzAKYTznfJG
H9XqC5m8VwPZt5t4A81FJCGWBCS7ZLnyVZfmdlzf7FIL3kCzY0qHSazqqO38KUnCTcm6fl+yjDfI
dEiEGBVRx4lE/kqj+JayCt/sW/gGmmXb1zXJQn2sUnXbJh7OPWge90VlqDx8d/DJsE8Qra2C0+Dj
UF3K9mLfoje4HIky/VSB3HJGBcqSQwzNPvPDG2S23sCRMm3UcW6PszZ5JncmVngDS1zRVC+9UUdU
y3ggbfsRDrRqH+bxBpZl18CyPVPH2jftUSZjljs77EuA8AaSbQJ1qjoF4V39MVPdUSm0Lx1MN5BM
UKd1RagC64syH7o0g3JB6vbZdroBJdKIdbME6WXV3QCA7rB3eJ/C0w0o/TBXSUgAlLG6h6Dc5GVo
dm5musGkkXU6B/tkKQa7o6z8u7HK5D7spBtMzlNtMa5AuPAs1+yM3c7UJ92gMjAMZ4cFzGTWvmAZ
mvPAG73PCaYbXKZQmPRqAn1b2aNcW4eLKkvmnXa4wabWMdFLgtURL5PN0Vzpoov1tC9PfqoQf1f/
maYwRQnSHZqfm2Z+7NeE77TDDTZ1OZQTVuAKh0TSPKP02KxjuU/paANPWsl56hVXR95jfYAOpy9S
26t98HyqWX+rFjxUoUILLF0mXbF2L3n3YVd4QBtsDlauvqqEOpI60bmes+lumqXcKX2DzmTGnW6U
A6+yrLkyZV7JfWky2kCzcnM7Nz1I1r0+LMOFWdd9VvLUDfpW1cNSZnOfgWSbOJUr8ikGqGDt0/YG
mUKgxSRPca2Zh/SgFtYWIdrbfcI3wOx6SYxzI0AnZDGf1ukwZXKnD39qQH6rFTUablXSg3B/Uy9n
O+1Le9AGkwJDZ2Zagzp6t9x0xtyu03GPOmS2ASQa5Bpl5mHFJk+rfNwV4GW2QWJL5zCqcYDsQcZL
nvprUqrDvhVvsJj1vpVKTYDFlV/Z+ZYs9fU+yRscmoWgOVIIN73S+pUi49s2tM0u3ySzDRSjHapG
RNhCZ+jrQd52fbnLfUDT7nuji5QIP1AIZHR5U4Vjq3YZnXwiOnxrzKmhyTCMAMOUpg9LuubrSval
rjLboNBnvPLegtnFrgznsln6gsxZtcuByGwDQ1uZZkTxyahdMhxX7MqDDMmuECazDRaJFWRxfQvC
q7a7F7JLbxRbk3Hf2uUGkCbjw6QzEB/6VeaTimdfJWTf2uUGll3lkewd5K+sGfr3a+kCPxERWNyH
ILnBZoVQk+iqg9zB6LsmjbmWy8UucMoNON0klJlGwI+16YUyS1vUttlXXZdyA07X80kM8xM47VnQ
5cUSu13hRsoNOBdNWE0xgJO08qJp1/6MSNSnfTrZILSxjR45AS+7eNwtJ1Gty5gLHeJeY9zAdEB2
gVMafMGQ0PW6MeGz7jF9tW/1G5SGbu0InhH4rfQNE2Oexn29bik3EA2lwTN98ohYZYUi5VjwzKJ9
ABUbgIre1UmMINzM7kLVt2tS78rqpdig00jsoZQJbquR40sjk/TE1SL2hU2xgaZY1hSXbRDHKfPT
TUCovemhl7QvjRAbdHLUVY31Kz/VeqgOw0Tby2Xu2U7pG3g2baohFHl+qqbOnrPBr5elr5adat9A
VIjOx9TX4AnLeSqIqJaj4jruXPsWo4lclzkb+KnJxnAxVGt6inDM3+fQxQagqLRJNrQ9P8nQ2ecZ
q9aDWbTfufYNQltW1ktZVvykmgnljIzmnKj0R+b+ZBv/SACSWwJQC4GuZYnmJ6udfhBrXF/qkay5
63t9Srua73PBWzoQb1T0HRLsJMohvYbojfKyrsp9uOIb0LpF4TgvDt4i4+1dT3ty2Zis2eds+Aa1
CHLGPq4dP/kQwx1L+nhhlIgvd3lgvkFtDTmfYLTlpzlIXujJyw+WhrBT7xvUDnZVsQmGn9oF64uk
UeTl1Ht/t2/tW9Ram3nswXpcg13eosbezpgl+xIZvkFt0iakRwI0Y3WQLu94v94iz5Kdi9/Cdixp
siQgXuLUnfpEpgcrq30kNck3sBXpIiWvwWjmXt31SbQ33STnfSc7vomthkDlUFewq01t6ysysnhR
Ir4z4dgyhBhKbdZW4M8Yjf0b5lr8Rbla7EMT22C1nqq6jxUoJvpgDyUS7iJA1rfPZrYsoQyNRLgn
b2nl4k9xdjwf+Mr3RaktU8iSpbFqLtmpCkGdozT0OEnUXO5CE9tglQJfTw8UIqzXDT6NE/HHkdqd
Bsk2WK1nKMgHlcDaWR8PHs32OnC2j7Qm2QarvOn7UQsLNsMmfAHpmCxWvDT7cmy2gWpcez7KgABM
9RheKFZVh5Wkbl+E3XKGLCUSiE4zPw1z+6pPGL0KLeX7jkxsA9XQNG2H54mfkHefm7HLLonXbp/w
LWWostIotEp2CobxQ0WacFZJso8LCxzl72sPJPT12vDIT0uL1K89NeSsRVfvaskB9/l76Q3VAzGW
8FPqZXK2JRVXyULCvm6L3FKHWpVknaYjhKY+LEUpyZIbEe0+qG7JQyX3i0nbjJ2wtqiw7cILuepy
n5uhG6hOZddpggGqtLHJ6xKIpoe0k5nd54G37CEpAo0TAZMcoLV9rds6FsjGaV82TDdYxSbzNjaA
pr7GPEe2qU+JVPQHFv/kC/8gX93Sh6TGtbNw/+EU1DjmcezH64bF6bJxvdyXTNINYqNQdi07cGU0
xcuHLkXDXWazpf6B9v/JG2ypRDWlAjrz8AZD5trnQ2naAopYYPy96OIPvuPJUP5AS0/XDb6tGqqO
SzAazk6ki/wyU0n1AcL4/LArTm05Re1Utyn8x05chvqiS2txHn26s7RMNvmwFbrGyUTZaV2lPseB
2lM28XJfJCGbGIsrWDiEPXaSVS3gEFiKM/ACzL768pZZZFgT4IAJpqNowo90xPURyNx4H7LIJsYy
hZLe05WdFq7mY9suc0GaPtspfYNbhqTi4won8GSs7IWrhzJfWbfuS7bJJh1WT/dYRG3EaWHgK4Gt
KC+ElPsaYXLLLkp9OdeVhqwPedt9jt3Ir+eqXd7ssvctw8izppzSDrI+TzA+4mTOLgZfi30Z65Zj
NKEeIJ1Atq39tJhDosXw2FUO72MAyi3PKAo+zGwB+eOyYJrLVYhzOdFkp6/BG7zGpGvaVgJegY7h
30s01jercdMP/P1TNvAHnmzLNQIW7VTzJ6scSTNVhYEOXJFlLnthSU0OZTOueYBWZbUPBHgbeaFD
obFoxIlAO/gw0qF77uZU7zvqb1lIcGhbZVtCga4yfZ9jTVWRptDb32emGwDzOPOIOkiSFyAkvIWo
PuTA3KCv90nfAJiBwSw0Qj41onm6hq6iP62D30cPlFsuEnSPhiZWjJ84MGTSooWr/H0BPoiU+/po
W0pSCk13U4HrOfUWr++CLOmXIZM7azhbSlLTknmamIDzyRTj66ml6Qs6VuYHGPgn0XxLSrLY4UYk
ElSPU/9ySpa0ENa4fRFxS0uSiCUqaUdxyvzsystSpu61B0NN9pnllpmUwO2uDmGbndgQsryEC3Cn
ZIF8Z5dZbtlJuqdB0s5lp3HU5Lk1Ft1kYyM+7JO+ibi0YbJVSmYnOcKFuiSI7G01dPO+2ly6AeyI
4EpkGkh2ErTXl92ibF51cdrnbLb0pLZ0a5AJz07l2gD5iRH7oCriHvdpZpMkL3DnIJsCBr3zZHkH
hDBvcw3kzVe7xG8pSlyoJqvFkp2SBvf+wFbDmyIrs2VfAW1LUmKoHaOSrjwt0JK5dY3PcoQGss/k
t0wlRsLscduWJ8PSeO7RXB4c0/6wTzebgOtqljkK94ZPpPFJHixKLjpvsp2aZ98fHeqR1AZuK5dP
5WhzPXtFroCc4vfBdctYsgaurFXNUJ5UB7kxR5Q8922gOzkHaIPXWpWZlWoqT71D6JiQRN/b1vpP
+xS/wetAxqUKuE1O9Qx0Qj5pfGIT9B/3Sd8EWBEzV0LBIjmpzKZvOXHm0M1q/LxP+gava9cQBMlx
cirtEo9BpuV59km6a1vFlsBk22TQY2bKUzUaUyTD0rwUpCEPe9YOFz++N8kluiY+NdlOhhh8q9Kk
fwNHdFPsk76pQ61IWc/DkpymfoofcKyaq1KgdVehSGQbsFKhO9yErjy164pPc6ef16V1u+pEYktn
Ku2c9qOby5NgSXdMl1jmcVVqlxcTW0pTOfG2S5opOdGJdUfg/OvzjId95COxJTbhkoSKrSw5+dZU
62Vvuv41KXm3zweLLbmpsh46pRVJTqloCBA+5rlLCxxqtAtQYktv0oLItKewfos8P0AJuXxPaF3v
BNQGrg0LbRwVuJqwDP21WhZ9Sav4o0PVHyeUECq+BxTEaSwWycALL8FcYrgv967hs/3RifDJtv/x
zAbH+O/Fdx2c1BY3JyepAquKMkR0hltu4dT0qqlz7rhY94F3y3UCCps0lsbktIxizl1FMFwwcuNO
6Rvw1o4jU1cruGQSyRWiFc0HOKPvSv/Elu9UA5cqS2xVnceZzfQKEcbfOiiMDKddjm3LelKZW3yU
qD/7kJYnRth8obtxp3eQ5PtN9gmmzgo3nl1TmUNYpqbNV1evX/YtfhNraWCqTuFy+1lkcTh4xcaD
VY3e59rkJtZqtSS8xjY50wDZpXJmPvea7bvZJbbMp1JlSZkQVp7Z0k4KzvkJf6TTUO0qGIkt9wnB
pQM1Nr66aHCC2kPXQlucN0PcafVbBtQ09s6VEsZkiI6ifMJTuPFdU+2zyi0FaoWhUjVFeLgYg6fJ
oTNVB8NElN13NRoG5Hxvl01oiW2C7C/mhg1FJ2FXW5hXss9wxCY77pnkqGwqdtFpmPoB/IHuriF+
3lU+Fk+jtb4t27smzGCXMbmo++79MrP20Yh5/LgLUWID2EFOera17S4nQs2vLNXd5863PyJv8t/6
dn/g9bcsqCYgvFAcuku1eFJdM6gWlelZeEJYe7NgFZIMLviMGl130gl628xzIs84JUv5OGOCnhp0
rR5qlaPRdUHnKlkTf5tQ0U5tkTQLESfBE6U/9e282FxgFBeSJ4vl+Eq50HS2IGuZoZOuJ9J8SiLp
4F7YSvmcfhRPj0RIIOt+fcXjMpirtsxqeyuU0O0Vq2RXfQxt6EOdd26Mw2vU98F0RbN4T3UOL1FW
nxI8p1WZNwg7/TmZEz+vRcxCrN6Wi5r7Kac0UWB0bhnKFy6lOt5YH1c+FGM6SX9IqW3KV90EQypu
HfRt1+SggTOqX4k+NOmUz7FCURyWbmHDOzMMRp3hzkHbXWYySJZXfrKTO0zIGAvvr8LaX64DzeDS
AEpU/wF3hrTPpUuzvi7mgXJ/47IJ97aY5yjlZ0u7tH8uFOvRB+vNhNFhSm0Npy8Ho2zEULRYVRW8
rJfNEi4nkNn3h7GXNP20GsRUn8+y13VXLCSWyObAWcbC5RmGVHGA0k45dceqnEv3XC+tZ3dDxUaQ
IFmSYJYbhjO2HCsgD7AXemwb/TzD62QuMjibdPBCJXXLyY8pnDtXKWtzp6PtZnyAAO/Ws2ILG2/H
QExv8joBnsHrNWPYm8LDnLqqz1lcq+5CoZQlHy3xy9jmNbAKhcqnaNvooAYS2TznXnbzGA7AZyTD
XMCVvIWQ60WbCcpqKF38mpexFUyfYaqUqcaiX8eEQTOklSWvi5RktLufyDjPb0ONpXrbl6yfBpgM
APNu6oJyHGFYQkIqoi55cIz/Wo/Y6C8eiWTVJyCSr7jNJ57AYwVXk44XOsJbpefFlqNJcg3TEVKU
p62A7z22GdDkABOzC/ILGitFdF7rvoS7ib0MbfIhWX1guhjUStaHFGarJJ8pEsYe4BaF7wulu8we
STf3sb1ul+YJYKL3qj/CfXKXxYNq3ZTFa1o7kg4nDfNEfXtMMuUJKlggqmwPQtZ2fsRQbwivpK2W
ejx450teNKH6yOPgxFGPXvY5GhCY+dCL2j+kI+joc69H3FWgPJsuVy1qrbiBS+wjfiV76HemOZwb
zZ3lvL6a0wa9zHBm6Gc3T64pYMTX+oDXUR8IXQSM/Umr9Q1t0rn6XHFO6LkSmRJrXpGo+vI2Gueb
m9k3C51DEWmZNdWHoMComlu6qgzXVzDNJtammJtsUO9H8A7UHQcdRa0OuOSzuzK6Wqb+AFTISvcH
ahY+v+cJGtfHmAxT95aPWSJ07hUUkVEeCPXrnUpLCMcHA5EhbQszi0avOXiPJPa5Q9Bm7E4T9PEH
fCHQBBOuznDVkY9lbmHqUP8FLod1y5xXMJHFd0Ahh8EsMvd0kXjKRdC6/wgD3YC9cIqQzJmsgAlC
zeTysc1CleVrQnsEal9gxNUHBq40ezXgduYfyZL4CufZZAcKa5unmX4xfiDurlaj7D9EZ11qcxpp
F56XSON4P1eTNjCqbUFdfTYlmwaYQNV3MCkqR0HZOj3NFRdAE2iWgTT4pplSNKW5oW1PpsMgSwI8
AoOTMf0Qw7ygo6ANp19CAocwczm6KnPmJBoo9J9ShMfheT/p0Lq8qeO0nhg0QsRrBZMZ0CfY1jCX
uYyS1TaH0DBnL0PrsQC2lQNOCjwj2jh/0sQNFVizjigd8qRqIw7npu980sNEoY5XL7giSX/Anq3o
EtXUQ7wQfJJVnvRz+XlpzKTuGmHm8MKVPcNn0E1FH4ykNoUbhpLJ6i0E+qCb3MjGVlOuRtvOl7Kn
ax+Bzy5nVOXQH4IeeOHp1OK5EMGE6i3NUucv0IDH+cNoZtomRc9q1cxH42Pv56KbI5ruQg9+5nbU
yjwN5kF1WqSQTjaHyqyZtPnoXHonFPUhb81SY513dI7mfVIGvro7yO21WQ4Dy7jurhfRreI4p2MX
r6HTlzCUY9yO4Qx07ZQueQm1MSNzi9xiPzETac3yNlMzFCdVP9BO50HBRKAGpjNU6oUWYQCXXZaR
3sPwMdPawzppn8453L0ZOp63GGS8H6XIxhe2abRrzwpp1chzm06DRMe0SpP6GrsWjcuLWU4Nbots
XHC13pJ1hb3K+9SbAQgEfkElOjicWG0PLYfNbYu+ezpc534lSXfXeTkC7OBm5oL74zpDka/N/cCq
Vr4w/Vx9LBPHICWIg8fxMYV3X8tcEKynz3SeMyClxTFt59wksfUXFMuZFFWCyrnPYZbgLF+hkAJ1
tcrGespyZhY40n+py3Va+lMHnaPsLXhAhOt8onWWnBDmIfDzwLup0XnbKrx8Wvq1G65L3CzoSvdi
nd+0Zh2nW4oW51Hh+6ZmBHKLFZxAk3eAx1W9jfMIBlLg0Yt0KAgjMI66WCK28R14dZ38GsQicJVr
bIGnUOmMqEedmXZ4M8hAXHWmjiiZFr3hfXbDUC8rXoTgmmks6rRz9cXSxhplh2xK227K+wS806s5
ERO4ZEp72r4kfObhssyi53cratBUwcySmq26wN5X7VgMoBOZJ2lFgOUBKWmYi0ZVDq4ViRQT8zpr
HYTy3DHF/K9JnKfqsdMlHTugA9s5LPkE3Xj9MWs6mBSTJ7PR5H06ZZqovB8cHGDyUoY1cXlUMEMq
PY5r2zWAtwUSQpZPhi76mvFp4K8meOfsdb2y3njYCZz2UITlfd1C+UtykMfXqumuJC2ZfmfWwNoH
gesOLzltSUz73GRDyh9qVkEYyHHNTf2+WqpyqOCubwK5Tx47VvaXdlS6rHNKgFX+bjR9jZq8npBK
QIHcezCtcqlFdWY15LG4qGFspwY/OLEkhXsdMAMmQAY1wLE4r63pykulwggabJaY3kDOQeU7YsA3
nro1fRoj1q4wIu7D4kjTnGKP56HJ6WhJ+dGumRvvYCkMnFwZjB2vZ+RG/JJbKpM8A2ZemgvbBlck
WeNTU2iYvVe+ciWNw2UajcGnlcL+QMI9ueytFyoOcOVxrJaP5SqGJuSLSoj1eaqQo7fJCpi4Q4sG
8lne9dnauLyuODM1uFjjM3j9xVWaQdSYWttCSkJr2hxJNlbicWxgOlqXd4hl8PdWQ4P1glmIUu/X
pRTiKmrp2IcqBX/ysDpQ2F0zeDa9UM6S6XkEYou6AiqUgOt2cHye5ZVvx8F/Sbu1nY4IJpeykE8h
Ve6inIgOH5oOxm68JkBKVK+mOSHB5Q4uKi/vmnps+gvox6o5zSXiwr0bEPRMP69Wpm16JMMU+Zxj
aBLOb5qsx5DQT9Xcscul13MtLmylDVw8rVUSbJ6WXWCPaWg0g/jaVPbdDE4E9AMVuZqBDmJSwi4A
nvv+Oq7WrPcIyHt3Cxy12I0IyQDXm31AL6P7H86+ZMtuHEn2V/q89WMfYiLARb8Fh3vjxqwYJIU2
PEpJwZkECQIk8fXPriq7qxRZldFZ2mkIcQIc7mbm5hZNJ6ye6/i5ruvG9SkqpFncBG3cti8U7lLN
XQsQgh7mBvvwa2km7Mm0FUUs0JVFYoYeSsJ/uGIM4g87HAI2FE9rEIqLIYRRzwkktFqexo4u1W97
PCs8PkJ9u9/Jdeh67LZuX4abMtgbm9CyWofPbEMamWgdyfDU6FJP13NYbezobN22T0Loqm8T1+60
v+g0HydEAcM+Wqix9J0tnGuPplmCYEpcOKjgqdJTSX+03bLaI06+aUsGCOhIgmNRYlWShposXFwT
Xs/cFvHHQQ8dR8xWQmektko/bwMHHom37LEJjJcLmgpshJTsQ2DWBdCzbYuhyZ2YgjZzyi3yISjN
Ri9nV3J50fi169CKsMXdLet868uk94g+T1u8byIdh9mOOG3KwiQ+aoy9CsO1ih7g49e7Ni0G2S1l
roiy/AEwnDCHZnMtIuHK4eR24F6K8KhNr2QeauNKk6FFma85jBqq4RrJp3SXUpUkyntjy/LQMOzQ
y94PUZEL7hsUu7Im03Xh2vBsRmrHur2qe7520IKQtV1O4b5YlVHUu92tg/jKnGzlwbFGFYzVy8Ti
DqMLiRkA0e0mlGLXfQhKJBNR0GjcLNq/ZMJK5cOrYo7a8VsZ9cp8tpJM5I50yKJRwKFFKbortWnn
fDbL7K6jlUb6xItpQcwn1oWnms9ku0YHKRwokqhZePylHWu9HVTt3fDUYhfD1qHxZDrODEXNXeQM
10itVCMrB8SIxv1N1w7U37oIL3roUhtsIW1OYi954DPI+eqhTotglzFcN2kUsOTfAzneAHuin0gw
Nrw8bTgR4d7SjxNUMOCNv/x7//8bXH6iBfaVm6tTt4XTFej18LYdxn+vAQDezr/iP7RfrESe5E9i
rEyyGjI97UoXH/6te3/bJCWFn6eBjetpimpySauu+XTOmN8hun4qsv4J/vO2S6pcyVzue92eurGr
dJPzyMOvkfC5OAlokdC6BjPHMlsiGmDZ7z10jCEMvn/UcYtaqxlLcVtjIS0ATJF6+S3lOp73JODz
znAQKbQfZtz2Cv/AaF4WRzqNsU6aVlOZdB00rjdBLAdzWbqaVFjWBpxY6PfuPSfXM4L4zx7wDbII
sfS+lM22nmKJ8uHg5njZLkxB1tcxXEibtTBReY8L/hcMTfQGZ9ymlgXO7Obk4HsXXHb1GAciYzUJ
xywePWCYRBSeiwxoQqBsWvEY+BkkciQQgMR8uCc4MVaTE7EE82HrCjNfxD2j4jpyRdCmekDHnM35
0gaxBSAwY6zKbU27CAkZBqtYtcAt2Rg930EwuNpbWARUKB5MpabLs75sDDJZtKiq87oJbCvybhsb
mdG52ldETMQdemyjkm5HV85kfeoxm4UESRe5vtqSoitgyIVqFvX7fpyYIABiJl+aKg2LfRozusJ1
KO/LYDPukqstdre9ikr4gbWrWYc6+7klfveRv//b1/ubH/q3Ue9zXVa/z3L5n9/+v5v/HhDzcxLJ
3//8PA3m77+7cz/mxc4//uPmqzb/cbDD958zYt7+zPnK//NDuPDvd3I2jv/lN3+wsP8XJvV/Gz/z
L/7yf+dgf25r+dcO9n8fX/F3A/vzT/xuYB9h8oDgggi0aEaKiTMZ/LuBvYJJPVU0hsMFhZP9z7/6
3cCeiP9EkxvDLIgoJiF87PFT/+1fz/8TxwD+KjpPUCEshJfAfz/eL98Lhv2///4f/et/3ZMCvzAT
QXIWSVjlw4TqDbgNg5O1U9b0hxD476CAA23ySKrtFqjewz+8l//NpYDjRAqdsjSCCSUmLfwapAvD
mA1bUR+kQiFXIRGHe37YXIzzX/MsxzO9udKbgBOtgCz8jCs59rDyx257/vMn+Skc/HskO18AlqIE
czzw8VQs/yD9s0299DMAGT421fRpNy6i4OORTX5SbdBPtxh/M4qDCHwxvfZabdFjZESsT63pzPZR
d+sEc3/px91c6T5Y3MW4WSlTDoN+9xFNhIzlIL4Ke//nN35+xW/uG6vw52gdjtEHbxmqcBsDjXq/
OdTuee+Riqhk0H+Jg/n5biLJgOZGYSywsN6cxd3GkBUaXMM6oIniUozvtVeSc7Lw5jGwlyJKCFWc
87e6cisX4G6+qA+FWL5rMuQMqFO7FJdr4Z7jkCctsueJF1kwvLOGfz1Wzg8HuhmDibigMMFRb3tQ
rB61jBtbAW0fh+omFGp+aAiAtL9EUZ6vg61IEDcAW+EB31pfjUFXVBTiwEM92q3L9o7aFvgCkML8
r64IvA8hQJwAdSB/cFACjjL164qW9Rr4XdRblTowSqn1/j3f4j9EGgmJmmJEUo4hK+xtgyniUDAo
vQd5OQXHuI9yGl8OdZuy4b1A8/YjRRTTQkKKeS4IOHH81m+KRLVH7bzWhwFTIuY6hVgm+/O39ocr
cPAB2MMEM0YIRH1vpE9QgbBJ7sHZLB3ILwx04oQvq37n2xAcA29WeiQUwRNgIxFMBQLA9mvMlK2r
TRfXbQYjA9RmaHei1V1khmVXdTb1eu4TNMHLPkVmhzsRbelNtomgD5JgadanDsgOTBX6OQwPrQg9
Er6yMi6dY1buqZZr9Lrsmt1h1gg5iaFbwmPpDPmNVSP84tAeEN43EdNjVkn0TGa7qvRBhdIvScMF
IC8+UaSa3cjHMl0sSJ2krphdkmp34imaK2KTBlrdC1Sma3cFn794yWLQLlsO5VjTY9NaIPoRgFJ/
JXsW0myoGthA0C6cto/NBGFT2rcs3h5ZBPOJOKlIZZcUIBjYHNUtlUxF328WN9K6D6YKCM087OLu
uzay25EAxrnztl6fQMzhRtELCPat2jhucXNz93WyJRJsozoQWm1RmIcI4qqbqQgXk3ey5zJ1WhKX
RbYz5IiXicIO+FdxB9/2ukvw9QaddQxdLtkSuN0mItTuOys1kwkcH+VtpK0bcqCWTZPIoY4+ON14
nvrGh/1BVMR1SeXdeDvgpnQa49z8VEwMVXwNzTFSyTGcalhbL3o9oBboDf41RkulZBE1Fras1yED
Pd1ej96Le6XVOqSgkT3w2ZixDYQIAJKE99OgL/dO42qrL8sl6W2oWRrpaCBJFK/6y8T2vqYXZJfh
nJRhJ1+pqIxOpW9CYAnSAot1jRmXBA30fk2BjAd72jZzUGKbBcV965diySs5F3V96qSLS4wRWPX0
taE7SNeB9EudyyCGV9ZOmY4T4vftJjajMhm8+BaTWBDtZWYbAVbM8AY2tjEgp5eq9QO4vS3s5gxA
bv+IanlsQV7Zccsr3SpAkmHAIfoc1mVPm3rYiwRJ8PxcalfrhHLL/LXbeYPK0Ba6vpDRVqhcoOWg
y6sBKzCZplaDSRkpqMRhVYkyBI7iYGisTtdzSz92k2efJBmGj+Ciu+9U9eKrhBWxzkZ047N0EcBp
EimD8WJFtfGIPe3FxRyxhuQN/vXXPuqbOQ2kVN9sHYP8LY10r1hbfsr8UHACEdC5V7Jvl9UlgLdD
k8SbqGDiPXDVHUrGUMg0oLJAH2M57dkuDcH7WsPpJRbjhuUda+ii0koZ9TxRge01LaIvQQm04XBB
QUktYG0xLgm8VzGqrKIuvtJdsZdgVV1o033QM0gGh1EBDUYoKSCVS7cdUUygcD93mSBdECz8Zpq+
LvNw6oLHkMFlNzFVHQYZHaXYACY3BXyCfaVYOkVT50AzN113rBkqzrQAskZRaDlS502jwhf4X1CK
97LJZ7rW7kULIGqozjhkyEHfurQvWXccgs7eKrmHApu1F9eiF41NR7Esz5ZR96CWwRG8xwg12dSH
mzlOvFmuUMl2PpGY4PSDbnZCrSSNvG00kqOMBeg4BJsxofGk2sC2RRkpSlGdpopihESDURuvLc7n
MKctB9eD9TYX2URjt2cE9P+cCyt2mo1b2YOOrQsg9/s88iaLQzvprOj7yw20yqMYSPCBGrf2mash
/wIXF4gfZTDw+KRbXs0XsDCMWFKWpl4gUiB8ANlFuy2LhtrwpJh7GgJX9uSWmlpXaTzEg0u2waxV
AonmAAfLBa17EDNggEdmO1DDSVCoYj6U4zz5HLNO+vK4l6Sk2dLMhUhN4CpMEKkKG+QcmIM9yaoo
jqbULckWWnd7yqq4/jJ7gAx5DOipvy1l2z922FFtAsnG7lO1zuA0mrMrSgJatJ5T5c58nvdmK9Om
HM1XuD1wkW89OuCv7F6N9IJPZKvSSlcK2pWQY6s1ZrYZ+NqoSdU+W5cKNs3l4dy99ik2OiZpsMdT
lcpW6+tu1pSkADPgE9+orgN7SVyx3qyuqNt82oiubm2piEt5b12QWcV0kezoiQDz3lD+uRwsFXDr
s/Xr1ARVlGOnFyqxCynbEx9AcWaNmhHaV2+DLt1LZYBZu9D80Du8bMAE+TFIxL6xewDPgU7WgmNH
EhXWUdIg7fhuVV9HKZIuNwNdWIWCSKuERyeFpHBOhtqWOPb4IDw2s7SITzs0KMlogBSnqPimMTV9
PL7AAH9hScXI5pK9KJs6CeAorEHsUHmFgOKwMHS/cPy5asl0Jk3m2L2Ulm0jXNcVLOYqtE7YTBcT
WkDMONefz1DrmBRrOX4vrC8HHGu9JpfVFimfYghEKC+IjCjgzLXjH0Yk8E8+dgtGkCFT/Q5fP3sV
qwUkE2BTwKqo8wKKk6Bf75zSfZXCr4F9h2Le6+OKLHpKm2KPHTDqGUKMrbf104SuTZBZM2M8U5A5
tAlbS/61F4P8AUyz2HDpykqkM+XGwMLPSCDAvuzHcTr/8WrF+FsMriMCYXJOSwzZQwLWaN0RvSJ0
AqVVbwjJuxFb92IbMH2iSlnkghcwhSCgtCEtQ6OAHr4Eo7TAj2H/jBE909x8XviMyBtGE3IOEEHN
Fwf9vEunyZ/Z/QIjaYHfo9Pcr+HiL5aOj1s6ucnzXIQifI0cBTiNiVwzTQ2KxjLloV9e5p716IAK
wEyBOaT2Y0c9+P5eMc8z0ZD5scFBS9DS0bjHYrNxmBecbz6NPOKcRF30ldfFeXNITOTCZujq/XsT
buDPDfzCoxKW7N2gb+ca8sYjTt/RHCCvqb/OW098yrClTnZurEgRWMWnruW1RTfoUt1MS7/HqZxj
/7DLElizXEn0HQ5uK6g+CNZT0S7zkC6NAAnRbQXWd7HKpzoSexaWTNWHmrRiOXBTD3AuKcAlwAC4
Rm18PUGI8MVNeCEfBhvKV4/SpcoNi3oKTcXS26NxjpBkLFZmjh6xguUjfFau42lCPkjnUPSprkTt
8xD1z3MM6ZE/sqAUn1u7bBsIGlNVh3GOCgGio4MQhJVegbA0sJfqHFdD2vZ8+lbuxi+ZDjYNtH9j
9HWqdpCCUN7EQx7BkGZOwqaBoxwRTZzovUe9uqIbPakmFi9XsGRQV1jsrs5I1AARd17HDHoO9D3l
omPNa6E03NEqOxT5WC+wMYTvaHEfgmyS+U72/mPElCX39d4EbXlR7Os8vS5THezPqPrZ3qRIjMJL
i8ZcoHbBpMyhZlq0D54tbs08kv/1GNDI24tpRBPpy+Sdjm6rYkIznRtCpW9ZXxbtB3Bl0XJhqoWu
gA9XxxIzFevnqgaEkRuFTsVkGecBmOGs2JI1LXYgaM8pRL6wNlubtnUr6w8qmJE77t0QhoBnyH5W
HhZtn1FWVt9k6dSPbfM4mcptrMgxmPqWf1zkUOi0lzx84bjd8jSQwYc3bDKeXALuqLlJ97jsgrSl
hmIF2KWYtuu6AN8k0jPNc+1RASMx75rexbl0dcCjrCECmhdE1kLFeRvV+2+Obmcyb7H+yzKX/CMD
/KCPLQodl5C6nYKbpkG8vUA/ZjGnCOACnsAjwWm/QYm1QEnX1oGtj9yVZX2t9U7WU2AQRtpkLX3z
iBM2QJXdoeH1SLXvyzvnHFsv4B6JmI1MX/b5bEUE0Q3M0NdLCUzXJW05TMMlN9M8HKUuSoQgSKg6
xNYiflpA0defB7TUf4awmcbHAuMA/eWGGQLfYjChExhfdFhcRGgsL1PTidlhAk9VreLYeOhaQDmE
pDqcCf4xN8u2kw8oz528pQMMDMCgBWcPEhjoBiCRHPTkcugIf4C3ih4TZwoMxEninpsftGyH7TjP
yHYg4KRFd9kQT+psGHBE32FeWU/PSm4qHichZ7Bk3aY+BERbnsUmEO2aQFzQipNCnhi91CG+TeZX
DLSF5g+75AZtngjEE7MszOZ1s3UmtyBsj/GEjr6c8RCkUhudvf46OvDyfsYsmQ2llLdQ9oC3VUls
O4wyDNehAKnhaVDmIOgZxtWRaMeOYmbsUhKR2eDNbi1UTp0einRu9t3lC15V+YWF0DkkFL5B5sEr
7odroZZaYQKO70kaweubZxEb5OOAP3lwsVX3mzVsPPZROH8TvfT2UkAB230YG7Z+mkobB0cEiRjS
x3iGxfRu+oXc2HB0YT7JzeMgFEu5vtB151CVOzrCXaK3E3QRHCMrH5a2Hr7Amr8mR6qK+JXUXneX
3KNsujUhvl0m8X3DS9lSWF+s81ySO1i5tv4E+dmIZDtUYNtxzopt77NAQ92VL4sYliQaYOyWrcjU
thSpS/dKujoYLyeQDVClWr/q9WqEmVSQLTXXSBBDcNNP5Q6hzy08V5cuYYHB6ltGCFdzsqpK3I1d
TcoraKr8lnQ1wKKU27omKimG8Zz5hAXpXVL73haXjELr9XHkaGlPINVwv3F0ICWuZuojyEkYDNQw
pX0OjZDuMYDEqU/pvgY/dIFC+uDjyXyjgQpQig+7v8SAh6A9stL6x1E7DQ1aU5U/lpCvc3YeKMi+
92Z0xcd5bfrP+1RVdeZ9rW/i2tMyFWMLiVM7ryhgOFCF7/Av25pTHw71KzV+CtKh0mL8TMeQ2QzK
NDlcYRZI8BIgxYpP2zRCyy287h1KlNpGVwN0yWddnW2f+bDEKm1XiEvuOSYWPHeiK8dLAulbe0J/
ZBNAFubUpwnWuJ+cLhZ3QOU6Fckiwgm2zYrXEAKIgAaoqfm2JpFbkY9GERj/i3PI6u8WSIC7lKI5
mqT97FBcQMe0XXc94klSNZ1gaYdDB88GpYhE7j+S56pHiEgD/OePbVgiBahaYZYbDg/a4XEzy1Df
hzDWpJeN94u5dgFqlDlhYHbLax3w8TcRMgmQZdEOnPuASiIrew15IKSCfjiMNKo+9CgjlgSzS3d2
4LVvRArwrm9SJ+YgyKcJTBqQIAdhoBknTm/aodrJVV2ihv2GtK2NL/ZJqTKF+tMt1zDiHe4tBoG5
FGR7hALPR5a3Cbq0hm9mLqP7KIJW69ig8WZCTkLJK+AY0O44EZf5yFWD0TBNxBFdvIV4OWc4fRdE
AjZ0iV6YaNN+gpz1BqZV0FLDNXcKLtB84SswZ0hjknJfHUY2yCJEHxUK0vudjrO/7mwVQq7ngj6q
XmRV6qcdysfmwpUBaq4dW1VAsSJCcylLeKUke6BLyOHoHi0pknjnEujfsQc3Wugpk025jskZ6f8C
VS/kanOAdCOBjyT7uFaNf4k6Sj+vrpsw/AcDrjjgoh0bLCibAD1GZVXWqV5a393vUHRgBzDIrZ3w
fAQWUUU+4W1TxileOvxOiiCiHtrwFcKDEsUVS7ZlUt/GmGH/llNf3tDaQuxsioHs8OOG3eQFmo3E
fTEH8kvhq+IhaoqiuOJV0G4ZNH3N0VfBqhNuMboga1mrVIISxwzHGSX9Zcwh0L5EA011X2MMRpsI
N/jLqox1kFUR2v2h691QRWu8a570nQHKt1k/P9WuHZGaTTBDQ3ptzBfI48Qjx3yox6JvPW4c025M
SmMDcZxqVvdVc739xtpezFkF6BLSiL42JzJhxFbqCTZRTopxetYyCF9YgW+XGyowKVC7DSeykwH+
o3p3cASc0b3lrtXcmRUqtamZE6p2cs/kANuroIGFTGL2ST+u06ggu6/6u20AqJvMS9h+juGpv2F9
b8OUzZgIYJKwKuS9Zs2wJZi0Vj5AsS2bbKwgkxq6yHTJAK3vDVo6UARANwCkDzac0W3dFYs4uvN4
hYNpLOzWDaQ6IoVd+ny/CofDfZvCBtKdLXitS8hCE1WxMshHtVOaYZxlVyWQeYNcbtRgq1MBvbjI
RQWxF0RowA1QJZUAbIwmektRXsXrJbaP3/GRCCKLGbisU2BQ/FpYI8usDTt0DoTzrucEdpuSYkBk
XKG8mMqfepsBEgQMq6/AZ1XrF9IzUqXTMJYX3I9RlZqZ8sexiOQX66AUy7aG4+OqaJ1eZRkg6DWD
H5aspwWwiLMg8kfjuPkWz9Os895W9Sv6tCE8ZWTtnxcdby9TFfZ38dRt+hCsYrnboOapzueT+THM
LHhxdp0gFRibvQOGHYkPo1LkWaATB/Uk6aVNZmq9xkkdWISHaIWMl3drtV9FxT5+XgDEhllNuvCy
bgu0ebiuQDlOi0J9m1buALLWtb+KpgnkZFzr+BJeodDRTkgL+mQZ/M5hYIQZg5lnNv4MAA+AropN
9yUyvD6XtAPZkJ/MKk55i6aUtCvn8ZvZ22FPkYyhSUVtxbQntQACBjF1NBF8y93pBNLw4TfYcccn
jKtxTRophOuUddAe5H4fhg97HfYzdveI3BneK0udQXeHpBrpjq3SlSCuXsaj6x+pBKxhmwgH/hRW
8qkp+fpkLe33ZIb+MMecupBkm2coHtnSxwHw5c59h1EHqLJJrsgGx/JrheYMZP8maB5JX9C8g1jw
MpohzJrYUFlIOgMG4f0YQwPXQf3/SSKlg2x4bZq7Xqn4ZQEw8aqL1VxQCoFhDsB5WVKKNo70XHLC
1/xQRpGNUhbr9Q4TRPmTr1x3B/ituF7Q+yeSCXb5XygHlATl+9Rf+nKT30UIHyyMC+NsvOKNRpDx
Y+Mh6V3CKyiayU2whnpJg6Dz34NKYRMBuTWfS7/Zl9FCSZ2cxxp9jdtth1ZmliBJai6aa1T5HVhp
AM8lbKK7VaVN7M1XAmYOm1ay7TUGmoH/Dd70z1C2MRCMIZKJNPRh/BtfHDYe9t2s0TwBXjKDdG78
woO68ylZC+bgCV1VBAFwlY/MorbFqabtTR9UfsAaRTKRhE5GHZJrhdGHdhknyKTMgNzazf13qNXl
xxDc3Z5Yt/dPdWiGZ4p2H4K+qK03mdw3Cblw3VCXboXpq2zgC2YTNW1d3GKKpYHyVNfQAlXdEH+J
IbqTAI0KwBwMUrQHJiv9W4n8SUNY3JzRi6AZfng2b88wEpk/i3UbsDN59QPwJUJcIcIYzVQxn6+b
0A/fevBtQyLGvtggGCbs1BDXTHk8DfVzUxmLkXQjlQ+8bFAe175YRiw+SAGyMlQdOQgZoC9jjlYp
k0GtTOd6IgLJLxqIIcrWnH/fS7r4VKIf57sHCoK9ukpP01Y3JU5zTNNEF89cMWwl+Fp9k5iJTnF/
bryR8BGBmh/ofpCdZY02gRS0hmdxUXcNLFLwcvIGSl9kOC3O8iBqKPZcRN39OhFkRRAHo9ljmfv4
g0SF/uxDPfEEm6jAxKB5GRKFRNiC7YKYPxGUh3c7G8QLp+ekDMeZjRLTkFUkK6Qchm4JfCm2j+MW
KMxyRNUGaTXmWZTJZM97lnFAfDkhtvD5ik45dCLZtQ6TEfACnhl65j7r8BKXpB5ss6dxayhDWwEM
B7It2g1aFZyu6rzuw8JeQG9NTao4ypEbRP/ovSlBb/RqQkiIRuApAQQcfRLkD/5oJUgvAeUWZhdL
lW/tsWnEyU93GOt3afhzRJojhZMweNh85Cor4zgNhMktuQJOd0vokE38FtNbkRKoTJQWliAnB8hz
5tupVxhM0P6lZnTcryAQuigKKjPCQNi3jddBG82d3XuS7RBsH9g0VVetqpf3lGdvGFsJHQ+RkuGu
z1XtW/egBrERxuRtl9Mp0DeNJMVDCc+pv2RcgWeJINcJcQHKIFBj7E2Xd9ytxi372OcxQJYEbeo2
nRToib9Gc5+vQjFPBCcpnkq+JdJBOTgUjEOfbwWILaRAYPfR3hCG72kD3tLc5wsp6I9QQwnIOt72
7y5rHJcFnft8cKNMCJ2G1PN+xZCUkP/VVYBLxVgJjBBgSvHbSSyu64CDBXhzFSbwPgfgQW+7ofxr
tgrn78NCfCFOGI0lV2/9hSe1OBLbpcv9iElJ0D7IWy6D4PDn3+etpEICNo3w0gDKCzRxvVWJNEZy
SrxocrF0/ilcZ3cDjEqeFMqMXLVi/YuqlJ/XA96ioO2Bw9BbB3LIypHQ9ZierdkM6GhvUMBERLwj
Qf6nTwWVEn6SqxBCt181DxasPwQrGKM9LGGQo1dfX3CB4oUDq7vQUJG9s8rPYo1/VBNh4RGCh4Kg
DguDR2exx7evD/VQmv/6P+T/7tp3AlYnKuvPp9vG+W24RijjUD4Cegnuhqp7z2bp7XrHJePzuggV
DiPOwzePCKPWrsIAN5GNY11cjEEPlmMx0KmGw/DO0/3xUliHUKuFSFZUxKM3wuvA+D2KNiuygMZD
yicN8UcJxHNz3Xsf7vyifn2RNKbn2Eopoxxr5NcXiSMs2hc8bhYUFSDZalZRNk8EpfKfL/t/dh0O
3SOWIzaAfDs5FpPO0BNZ1DxrV8YuBHrv0nGT9J1ALt6+OSFiqRDIcVxI0PVv7YyFg7QlRpvNwUDt
e91/HB+Wa3TiPJCDPxTHLdtTf2hvSZ1s1/NJHfXJZ/pgb6cv88NsEvfaPk006dNLl6+Zy/fsec0e
r3VKs/gIOjcBa36q0zqD9VACiUXvDz7ZD+33P39XPx0U//Gj/O0puPzbU/zB6mg9n+LQJfaH7rPN
dTafzBF65A1Z0T2FPu8j7FPzMqtO/RV/Ryv3UwX5h0srKCUg1Ysk0p9f14OpY3DOfOoP9OgP20sD
JOuzuuk/KnJsrwDYnLxKOwnW/nZ4x/3nrDH85crnIAWR6U+BII78N1cO5whcRQiBYHRTPuw3xf1y
Wd9vx/XTOy/3bahCjMJ1Yng5UKHOVgu/PqEwZmhGGtcHlnyZEn3NkjBdU5eNaZz7Y/kUH+EN8M7q
J+ez/Q8Ph6QLil1KcXKe1+0/xKshlgW6mJG/8mN3Gm/FxXJRHPxlcxtdBCfyXlfCufHj7dViiDoY
R3++4m/nEwRBKwYG4eFhTaMjvwzuxtv5xNMt+bHk0PLnLoeVQ14kLJ0TTJV652F/WjP/8fKQwKEv
nQrgFr8+LBJ6WVDQmQd4AlxOeNjtqjhFJ5UtF+4Cp8ONfBAPApD3mLrEpwFqtx/Nj+A7u1e30a08
xacyi7PwSp7EO2/m/7N3Js2R40ib/i9zZxv35TCXIGORlIuUqVwvtMrKbII7wZ389fNQXZ+NghET
NPV52qy62yyrCgEQcDjc3+VlnW/8tHV8GKpIHWZU/w5jhAX0PgKG2pxa7ehmfpXteugz9NphulU7
MEvUdrasf1/EmS9+AHBqzSSdBS66SgIdyvIJrk/xAfnLk3HwAoSj7nV/OLn79AP6Bt/jh/ZjWIET
2JmP4UfzoD8od2owvCufy8f63jzxoNy4u1/0Zs9+04Ly9OBi8j/Isa+ltoWWN2HbACuh2fZp+tB+
VH61n62H+mN67+3dj+ljsZcf5y+0cIuf6i93Y7u8qJauhsePzrBJwT1HJ7Sdb5eKOI7WSKbs20N1
V9+F93TjAo9Qox+qD3lQ+RvhdR0AgJqiYGKQSOqWbgAKPR9PdEKnHDfFh8kvffcxO22JGl4mJ4YJ
ytQDOQumlZB2PkA1NWD0+A0BIAjjEzHWoZCk6PkhFSL92WUFyA2jI5zfjmxLgHy9jsvnM0mU4Sdo
3IIX6rAZOofDRL+ssMvqQL9Iu5PQGg9vH8WGCQA1n5eZZ69WL0549jpzagbCrft7rAYXbmz91qz1
ZSsuibjh8bIg8T9fQmtMBd4KiQnx0bXoLai9nyWQQG/PZb0TGAXItq07sD1gZuirqyBuKeN2bWUE
dg0Fy55D7cD9V6DCEFlBrsZyA8p/5Qt5rBrZiWk7urO+BaxBWgNdWCPQMq071IrXf3JQo/lze1aX
2w/yyXKOPSDpvPZXFymKcFhIjYxCGVv/GFMTOHaWbJ7hfCqPcwoaRrguharbo64zLxfKC+h3E4wh
Md9av9S9bvaiPhMGGTnGrV5Epzg023hX9NX0n6H+P4HpH27T3e///b+W6sD/m8C0q/+a4wzCEpzB
dvqfv/8f+pLu/gt6EMUSAp3N+3xhc/xDX3KMf3kYBgCzXwgwCHTyR//Ql6x/wVuyqA0tV4CqvYTh
/6EvGca/KMTw+EYPB+oBz+O30JdWO8WGiwdngTNAsKceuxaTBBFUJHoE9FXyBDb8WbR0CztciMr7
iIdxuxGwLoczqSBpDEXdheRyfb0oTtilrTnSi2km6/eYpdpMzycEsPI5Mr16/vvVl3j8T8B9zc5a
HXKmZ1qqic4k55vca32dqXGR1lMGIVyi9/CpJZd/lrGdbISu81EAILFwxHl6DoRih6ByHiB7dDoi
taOT5OIfEkwtT0QHhZ797bmcB8h/RjGo8puUqnV9TWUowccixwOCHSa6twd5atFyGrOfESZVQZx6
ypvskZbxrKUEQ10JhobJTjyfVaZBO/dGl3p67ZmH2B3GA00FbSNUXa4dvXLiFHckZwSvj/NRtM7F
M1QNa/gQQv9GmM/v2ooewFvXjlEIwQ67nX2w1h2tZaaK1vFoAoEXdnzhoYoA5MFC2wHQOAQrTQ7i
+faY53v9Zf2okMFzokhhwT4hiLx+ZsBBk2AippruBUgCHFSsAL2N5L2K2+LG9K4MRYjhQPHQcCgf
rBZRr9DWybuUoTL6Yb1XzAfkkyofnHm28TK83IWWbdJHo1xmuYgcrvIpi2wKHhLtNIg1yV0XJ/bJ
Jk68QxDG+zggyLVRRbiyP16Pt7YJndqSfiloHva6NlenHAUAZZ/0drwxzrUltMjVSEGZHgJK518r
zDFqjUtLgtqToveTZIYh0MZA5Yyo32JXX1tESpyQZbgAKA8vf/7qBerJ2nabBHRGNOlp0PW1/kHY
duhTz5sCe3S3arZXJ8d7nuxqod+t/Sx7VC/oeupyp2UdJUcvgTwNVGUXxShVvHnX24t6usNp1ixH
XyWLsMCtFMkFMJC1mgGFz+wPDWg0QHRRvXHAznOrlwN2NtTqgPWzU9UNtW7AR+VHAcHqCElJfnU0
cLCDmcqvaBV9vz27a7vx9exWMbE3MX8eQIsvwjW5j8KAdYibNto4zldHIS11qU0bNIdWe7HxKlHP
6DnuqtjrHtOySniXF8abHAj+WT42O4fZJlN0V9XG0ApNKTxHAp3P4x2od+yb+3LLsPLaVn/p5ICz
9NBnX41SI7pag2WDAARlDq86L0vvMzsPYfU24tkjXm01kK5t9qUYzbOPfyPF4fPDBWAdbS/bAJtH
YnbM+u6HZZq/dKk7+7dvBodMGyQfIZeHy/lAtqWKaLAIGSJUgNbnjYtwn9ZuHKiXhtf/fUou38le
eJJLmYwioLYm6wrFRQnPQuZSGjVgMRxffGsW9BCqKjoWQ4mQjm0dwzAFAmi1A5CLvqBPq+Lx89b5
QtmmAK7rEKCXpOd8voiWquB5uWW0os3sp6IxRXMHWzFvNmKxthyj9ZQNm1xHN1xr6TWdjzQ2kSu0
saQghnLdvZrp/UHKyngu+/p9ZCvjfd1UCCimJdQFxvfHKQXO54DkbL07FPXlRip0GWnoSaIDSMJN
D5oq2vnvGSbyIwVoFKQJGuyAnaHfgsoZIiNAhw9SSVz39qemw39w4+tfhgJG1uk7gPswLtMjmH7Q
PjRuitEoXb8uk9QHP7NVEr06v1ejrC51QDTeHC16jgOEyqCLMopgMsQbEyzs5P0ok0G+OcQxLz4w
C0c7mTrJ+Yq6SEMZZJRyZ0wurD5vNP3eBA9we8deBh9GoZNIr8PQeH6t7tmi1MEzOK0EY+7Zn8CC
yb2RNslR7bLkVxvX8+H2eNfWkS1Lc4+x1IuIEKYlL0WLG8lOBrMKeukqD3qoRr7r5s17vZ9g747w
g7f8wbfGXc0Tzu0oZbmgIfKifkiGsrwD6zy/BylXP3Toa/hqCo/y9mSvLe6SbarUti3KT6vwN1Yu
2AXc5yEFaNb3VsGifA+5D6+GwqNmi4dA++32iMu/8Tws0F/UkI3gCcS1uM4FOyMaCquBTNpTwA+A
mtWBkdMoU4rx7WknqTQZjE1pUrXpAZ3vzxTkFE6iJozEocv2ajp3uEZbb0+mF2I6CQmJIAyNC6vY
CZ1NU5+qneJUw9FITZhtifOkSlCzWa1u7M4rseRstGUXvco6h0i3m9EmWgEDCzXfiJ3URta1nqeN
nbHkJ6vv5ECap9pKXZ36xSp/4RzHmRBzhTQhwF8BTv0Igl29xz/VBexi98/jQF9kl0+DGDaO/JWj
gGABZRHyax7ka4tQJx3dOW25/ZHw9j5naKt+pNjY+RVohbsSR26kTEVobcz4ys700BfghqChxL5Z
XRC8SewWKCapKEiSXWV4gKq1BDK/2iv+7UNwbYIvb2WNRN7jejz/im6FOJMZVSRUouwfbITD79Cc
tu5j09NPbeigUpVJlCBvj3rlk1LioO5AIuJa+rohWAupz23LqEZnowuaxbEbDFDlUCcx0GhCxgXs
mYdkdQwS9PbQF9t2uXTpgS5tGq6MC90LGD+VlEQUgLWwPdXCOFCL6Te8MC6+IKNQffCWNxnp1jq2
1OGIJvfMnp3jVgPT3CWoxaEdcTIqp3iTwgup0zIWqSkvQIdazos8y6uDCIMQCdyqrXapV4yABjtl
/tkrevY2VNA/45gQ0cAfgbBcBzFIB+gZqFBkEZCcgqaazAc16/I7CWtnI7ZcWz40yik709GltbqK
lxDGirLMc4aSKItS9sBgYZ5+iFKdNpLDa9uBXIgjgCYUDYlVcJHYbMWjXlXg3NR4XyvkumJAVPzN
m265ZrgaWTyV5v/5KUNYVKBlj/pBZsEGAHQPIrjMt9ptV1aNhHqp5zEGSlarUSYtqvSkCcsdvQ+S
SwLVvhzd5CmU0fzj9oSuDkW4MLlxqEWv29COnkuE6lI6mbILD23aNn5qAJamJPImkNPLrgNT939H
Wj7gq91dlJMMZ7Rc0Yntv7pOYewLyB0b++0i+aBXRHlyiX/EXWrJ54NoaFmjI454r2aX6juZjPJz
bqBF6kUIXiLIOm61p1aogf9Mi9cXXTAT8RqohucjzjJLUJ1iRBPszKGV2E6PRYF6J0YHaJBYoTgV
Yx/tJ1zyjoUq9X8rk3LfWEV1EMaQfrr9Oa+cAoMPaVuU0kEnrXtysI2RGgrZOY7XzzDblGRPieDP
2wdxwBOayBhTPTVXt5othzluoH7txrjWYx99PbsNGtWr7I077drXpDdG2UgHCUvr43xtQzOlRTux
OQuIIX4iDOzbcXHSrP5UtMikvH1ark1vYAGPORzz89E6aMAjdhagnVsrfEjR2r6riKLBfzEKBY8F
W0AeuS5sO5lTGxOssF3S5PW7EiH7/YgQ90Y59so+YNl4RBER+VDrlUMCFBnfWCx5qiM+ZIOHBkJs
ibeWimg0oSVBLcrgbeOundHduVeQtmfvp7GRv8fHT0cVodhSnbusdCzD0IgCmUNh2Vw3zXOk5WEx
o7CQdGH8TpkwH4CydF8Olrez1f6DO1ifKtTT91I44QP17nvbq6qN++Uiv+JHaDgW0Cag2oLa3vnu
mKXaeW2UkQggSKDt21E0xaM5WmoP82dAv30cEJq+q3tP3yrTXjkGvAZo+gG8ADO8Tu2UUlhqh3bF
Dp6gkfpCtadgqOJ3Bv5fPjpP/Peb9yiXD7grF2AQi76KaZ3ujPmsEkVMOKG7oTHqg5PPWyfh8urR
+KRUyNhB6LKtnwPUnKOxdvistogx0nad8m4qZgflX2/LE+xyBRkKjTSDt7eD/Mny56/uHmIlTGSL
FSzRSVSCqcyku1NnoX3xGsP6LYYcIZrba7is0dljBw1JTt5SaSR8mbRjz4YUqbTGSEIOqYocnVhP
Wl9lN8y/ZOdkgaYV+i/KIONDJYzyhBdHs6EHfLldNWMBsvHSIZMkqp0PnxdSjfoBEXLknaIgs53f
We38tAoKVNIrkDpCguv2hC9DzjIij9aFwOCaxvLnr9a4GWLgt5osdwVIoaMhu+7EUSn2t0e5eHB4
4Beo33IQ9OXuWaV5OuItlllCdakTJBV8t4jj73KecjOoq9B8RK1sjnepC4Fv52RZs3VHXNmzlrqA
wl5AxrzqzidZz5WTFg68GoQE5cGKcGPCBVgTz2VTG1tAtCuBj1YJT2XAiNRReBOcj2YgTGwOLSDW
yW4eiYvps4aJTNCbdaYFZiOsz6mR81Qe4YS1Bzh3IQSkppFfRG1uGmldWXn6sYABwI5rCzrh/Mfo
GYThWcLDxTSR4woo59dgk88X6ujhjhCm7xv3qyYj8earjEWgjU7lDGAAXcbzcdXcyyxZsZORp89K
H7V0Yz7iHxFv2ctd+7Y8vAA7wPsAsL78+asNnBdFEgJxWBTEuvBLPyXGIjXihQ9Q/TvneHsfXxvM
o2y1qNGCwVwb1KIfpwulxdBgprJ+X2ll9wEFCwUl8nJ4vj3UleBnL0MgmrnAutddPi00rQkHE3LC
xAl/J602fXFbpz+mRZadaGiKb7fHuzI1avTAWywqAkC2VjclQi1x3k0lcb104AILGpgoMNBR55/Z
iDlXhnJpOXMlMjWqxau9Edt5FTVtguPXZNaoJo5dF9L2K4w7eFDUAm9P7EpMhZrIxIhyC7XBON8g
yVjYWdQpxU7LIeyHUGjhp0oaf36IuvRvSG+9epTcNRsvp2vjUm5kSHhAgElWJ69rBy3TYVbvtAH7
nB0iIOYH1K1yvy5i8QXj8/Kd2wtlI7m7trYYCNAeJvni/yx//uo49E5v5q0SEepwsArCglNepaho
OU6zhUu7skNd4hz4PmrGcIdWCzsjG+Yg4wast5lnP+tm9ALt3j11dZgEQxEpG4WWa1PjWb20T6gX
81g8nxp80UiOrlfQ4jTtOx3/syCPrBJxE8y4bu+ZZQeu0gAgpga9hoXTxwV5PpRpow8QTQtcOYqz
D2ZN+QiFz7cBPpdHqEZe6KB0A2WQVGo1ippXaW5bRBP8l+QemU33QShieHMtjFFsKhIMpUKM0s/n
0ghab/YEs19m1ghhTUUg6oRiIo5WE5qxciNEXtsVVKiWdwxJBWys8+FUdbbrLiZuKW37ucfYDO8E
lD7Ip3aOTLa8Ua+NRo1vgVBRJuZddz5aVTSLICuHu55khIBubRyaNHLu1HGsHmZEjzZmd2VjEJGp
RIM2ZUxrFSVTR68GlHyK3dBXFX1Zoep9gI1RuJVFXNnsDLEUxhaeAXyb84mNlamJNuYcj33v5EEO
diBw0tJdmPlh/fn2dr+yiiwirUk67Z5He/p8sBDFiaKNMMNC4sAqAn6O/LuoTdwKQ4VCLpV/U7w9
OnJjUy0lJyHlXl/bePfko0DVYJf0ceinShSYOm5JTWehwYgpzW4ctSG4Pc1ra0pSja67jog0xc3z
aQoEapAXB1btNNm9Tjdxn+VGhPygvlVg3xppuRteRWG7AhYGKqjYVV0b93eEasiPuCb2lR+nyNds
TOzKVeNBzaLgTW7CnbKaWN7WboZqHpYL49we58kCjWyHXiDxzdwr2NbcOzIOv91ezauDAlZ/gSDx
WloNCgt80GLXKHbNwCLGQEG+5JP9Be2T+qDaEl24RpgbY155nhH4yap1lVf9f0xjX61r4wLBTgyk
gHgpabtIFPdeNWbfJhh2f+MAlf+0crUOLEWt7/RhzDduhctceukKEULJqAH4rg+/apbOaGRxgQDw
qD11eoHWs6ijv5RQdu9nVwn3TSib92jEbNx8y/k7v46W7cpJIY+moLC+jorW9OKW+uQu1AEO0dKI
9omR6E+3P+hlFODVCWAf1Ct3H+nZ+abtnQKBK11QsAk78TNChELgz4my+8EMx/InOtXRX7dHvFzQ
5Z1LSW1h7NKWXcUd0SL6oNZkEKgh58MODzbrEbg76p01bRW8xtG+wKcIxZuwCnF3efvoL1k8zFoo
jWv+LjpQOCWapKFqVQm04hQOJrX7Ugy+N6D+ha5AOA9BNapVeqJYrP25Pf5lkFiMHwCE05YwdCql
5+tt05EgTSZI6FAK7vjrr7Qyh6MOh+Dw5pEokVIZopXzUmA/H4m3g+7NGbckZsVOERSzOyCPnNLT
P9i9NYmNhb08pbCdeEaQF/JNKSucD9cg7piMLb65tp7J31wgUFOTNNDSkAocvhDHKJ/kj2pwqmMy
GebX25O9PCyMTikdwDN0EApi56Oj/GinHVRE9D3q5EGrbCyDkkJ/85FcRnFp9NPtAWK6SgQ4IS4o
7WGh6CjefTKZH3p3VO7+i6ksIgAAtnlArHE1DVg/BVQaCznM1SOg9BDFHASgtrBgV04+Bps6pUp4
YiTXqyyK/qmVD0VXLLJsVuAhPnz0tDy6A+833rtuq7w5JQVwBqeFPhmUhQtEWBPpUymXT6QoibHP
ejf7YFH3wqhnNB9vL+G1vQjyEuGGpWAJLv18N+Ro6fPegnnkOENzpyYSDSo0ywME+LK7qqnVe0m/
/cmqk+qHQPpl4yhciXCkcSwp9XwA8WtssJUhplOrJN/hiIbaTlJRRDovW8TER6d+RhHI6neWGctn
M46memPyl1c0GRZcCZo9VMDtNWKqVOZKtyi/oC5fqj/4GKgyFzqH0e9ElKGeD8zwE3rm1n8RcBgY
fMHCw0T7YTmjr+7pNo4bGfU8AiZNNgiduNZd787iu+Z06UbuujrunDwPRA8+GpxEJCzWxYQQ6e7c
M6c4UAckAzD9bo5a2ScbEXRd1PtnGJd4BheQoL3aR7CFYK0ZRhwk9ChaL0OJLppRJFMTLHntRv1A
P7G4Tw3lMRzD8SDpdj6FXfvG7XzxM1bBzaxUBERNPQ7iGrOLEXHSI4nhcCyxiwhSb96XNj4JnGYK
b4AZ97cP0+rGehkdgN9i9UEllQrO+Wety7iMcfSNAzeKEAeV9rRXo64/lHG/1Wa49llfD7Wc61c7
yJ4NZ7JylIY7z4v3rZFhaDg25cZnXQW+lwnBV19Iugv8YC2uge57aok4EUEY185wr4KCDf1mqtL6
DjViT/3sVG34xmxuGRQkPacRMhPCF+5yal9NzZhMWVulFwVDKKL3FvCmYKlcbSSrV6aGNTGXB/AZ
/mOuRukgi4QKBabAGyc3f+gwbkxPLa7LiFOLtoED5FRE/NsbZBVwXqZG63JBajE2j5HzqZWhE4p4
MuMgH9UkpAFcdTFSVXODq98uHZ3R81tX9MMx6iTd9tuDX2wZ+vnsfdAKgO2Jtasrue5bB7XpwvQt
2UYntQ4nHwW+cGOUVUQ3baroKsoedFAXEv4a7tNlMQSWUtf8KJ6i3p+MrPyYyNHbK/ao7JuJ2zrH
kvRg6HO0Ec4vjh9DIyCx4OF02inmKqp6SamGaYK9hqaiN/2oW1Uvv8ZtqyvmDoxL0250o66Nx7ng
zl9MsiA1nn9NMZuZHiqV7k+pibDtMLsB/MLMt5CxDG5/uytDUbuHIA9dHaj/ul1QweiqUyA1WPn1
Yh+iIBuM3MuENFlvfMBVRrB8QFAQtNj5y0HKYbVHk9TGdKEbmFWjlg8iLKqjEs5I8iooWLY9Pf5w
6BI/yUfj3WBYw8ZHvDiXy/C0RkjqQO6wU88XVVc8jxxY6D6b1D3iz63vTLumMK3iXirNUn26vbKX
p8Igw2JZ2Tzki9rqI+IckIYYaYe+jtj9Kc3wQZaxaDcW9XJWZ6O8CCG8imkplGkFs8nQp6Pv+JFr
l342grzThPeEaviWts614ajOLuBsiBTM73wRLTzBqxgjx4AgphbJoTLrKUbcABlcBOjcwpz0Yj+1
WWwe3r6a2EhSBiD1p/C9Wk1BqREMv674hlvamPHQxiybN8KB+EjQagFFU9GhA8SJP59dVk6ZsGGF
+xPT+eGpZYE5RlFtVOAuNwYECBX9LzDuyACsr6Gk78NoSLwk0HW6PpYbl3sFgeu7ty4Yoyw1Ilqi
FKbWpammNAZRuUoSVKZOZgbl9YBi49Z+uAwfCCcAoAIKBy2Uu/V8xSjVh5Mh3SRQ+glhR6FyvQ1a
chpDmvW3J3RxxS2IJnIqg8cLZKH1FVeXC8s2xoNMQhX7e067/NmyInlALn4MGrdU7iOKqBv36rX5
gYQw6N8CC4D6ej6/emaBMYpLgiQWkpYxUPZGR7dyVHA8vT2/a0NxorhfeK9QF1kfrUz0GDKxLQZM
Fz5WKD75Ze9qP0wAhm8+TAt7DwwSFfWlrLfa5+os46nq3DSohrk8oh7779qwt6AHl9+L/UA7Atz/
cm2u4y0ifVDUYbayAZ3pS4czWDArpngH77V5r4oqe1/MSr3VG7s8XOejruJEaGNua4owDgwsrU49
XlPHsum3RLkucxGamlTQuDahoNPfPN8W6OAvPg88SvDujR/ztEMzyxkLPzcr/UETSYg9G5KrJ1O0
4V+3t8m1CXKJ8bLVyYEAWp8PPc5NpSjjyHvItrFm6vT0XdqqW5Wkq6NQ1Ka7T7UXwtr5KLhagXgK
LZwB9L4/LN4UYMi0rbru5ZbnTUMgNBaJBnpxq0dV6ah5obUiCdRuDrtjOVSNfpiTOs1PMkeueSMk
Ltv6VTWXaTAchBSUGnhF8Zo8n1QfFSYuOjhjhbM0j1Eq56fCirMgqZdaldf13un2t7pyBKj6AcFZ
6uakx6tvJVrTVHoEiRF8J9toW42eFQqW7omHSnvowZW/652myfe3h72yrMRjQDeManNnrj5eqyzJ
l0RnPuLyOVhFMt+FcUdJt+Qxv0Wav7KoJP9o7S3hn1fValG9QkV1NpJJ0CCvjfoVOAcc/Ry4ZH5s
e404pWYZ528OyxQaEXtdLjj0KNxVLmc6w9A0eB+iMIwXEbWl8NkeWuM0G2X/9+3FvHISaFxxzCkU
085dI6jazqELIPo8AEePDaPWWxgheL//m0EWFTeGWgor5ztT1aoIPF+bBwCgB8wAVTUoBm/euEEv
9gXlE64x+n7UbBag6/koI483motJGcAtl08ZZfdAberhiGOC/e32hC4CJPsdJSpSD863yXvtfKii
LuoFXL34wlvGcwgyK7yL5wmSa1AiGu+htCtx+/DNoZLpz2ToPGNji9BCvfh0vJ+ASpIgL0gQyPTn
P4LnXArpM5X7yVJTeODKbGR69thncxOlGLGYqN/v7DifM28Hf7JJEMB2cxWbMo3WXYh2dKxqufZ5
zo1J/BWnYDHMO3yqK+WrcAoqFN/CKU2K5IR0dKP8LvIEuztfidVQSXYoORdpsleHSA0NzDCLXqpB
29PuTY4YP9TGcz/ik1j6NjY7y98vZmn8kI7I239rrVoN32Z9to0Pde4gvi1Ts+18vZtifByVMkav
ONHaJL/vqiS+V53ETmiOJf30fcRKkgZ5gaNo4hx0E41mf9LSfsDqEvxR/V7NFrUErEsz9yvlHd18
sOFSqr89fL28LykPQjxNS2hRGuq32Dw6QZ8pSVfw48sxvK/qJG99OrfF8FmbFBu6ZNli4BDkNMlT
/ArxqPkymkadfKxLSzFOmeeFFAiZS2n9kNmEDWZgSPy98aXEMn429m2fjErrZ2qG+u+pFo0yHNsc
qNWuIecfxV6bYrRk/dyTeNxNUxWqeB2ExvSp7Gat+I0Dj63HxxZJmm+y4TnbB1ldVsoH8LIl0uOx
NwN27rQm5qGCG1GQ2yBLvmtdpEJqNeaimD9XdgWm1YuQjtiPjSpbv3OsLHlqFh0aTG8MpfO+WeHk
ND+rrkY21afIVHSfmzKh6LrriySrBU/Z0NNOwtDb8ZMdj23KKyKaO/T2MRdSzATLjrqbv9mjk0Vf
YsvtpYJ5dIgVx12GzZ14ckRXoQAObcY1n4bBKTNMf7JowKFr6cqSY8eTPZbfagfGPu+uovLar/Nk
DIiex1h0KE8YBUbZ3yY3NqY0uaK4EV4BQ435Jx1/1eo+45ugWn90TCEitOT1BscDX0S9kwg/dvta
wyWrk2XdIpVdDriMtBxk7xnjuRzMelfZ7oyHo1UUP1wrVZN0B15CTNwtWecMP4mVva7uWkxV5kfZ
ucAgj0rjTbgX6klRW5GfRoiu17vYnfXwT4M7jMVWDu0G2oIyTZr63TWnuYGzbo5z3ftYksjpRyU8
TLwGvTJnzHDqLvpseGFbPMNuxZba8kJl8KFF4Cvsqm2IF20ZT+r73I1CCP8U4+evmQJ6pA3Kzmbw
epDOu2nCyOVrm2CNdXDDkgiEIm3XCDWASqRFyklOGZ3XXSHNafpRmNh7iEOuTsg07JxUnYGIFIlS
1OqDUet55eEArNYYeopWwdp4r+JmoLgIvWNDqD90CkxOz9f6vJt/W0KhixWEogEFtNPKSS3NAxCh
woUxpynzhCUDivbDDxCWSoKC+8w83uk6Xp1w5JMaWPJuKt0o/cuS9VjFvhNhAfDJFhXiCbB2ptBL
dnMLRAZD4qGyur/zZFqcaxQ98urOX/AQDVYyWibN9kNaqlZW3yGuJ6ruWI9Qgxu/51Hg4KFi4Gz3
rjASLLnRLopFIe7wc+4wyM00r612Bho2lq+bilKlftwNbqXfzQa2X8OXMLOmrvtUYA2aenukQp1B
+1KHJW8fsjvXMpKlJ6k478d2HscHF9BQo++raDaH3eBNnbZvmglZoMBThqR+zBM5yZNEzwObC1x8
yzTZ4cAzeL/dXKfncWiTCRfpKh6cB01NG/WnE+tN+Zw7MPJB/QFWAngIkbT8jRaeirtfT7bgD1io
9Q+qXTnh88QDufuqIsydHTPMPfSHxkWPyid8qb+cNkfgKO4mBB3DOTsOVqghEjHICOviaIje2yGe
2HiuojObeelH+moV/Z4cSX7r2UUzP91TbqpHfUfTu8Q9u+oHyLsVrhbKd92g9v03c4qN762Nv/HO
6hTFO/KzaDloIu0mHxxCZhyBW6vZQzMVoRXYA2k65seeLr8bne4q6k7Jc1m9wyjNyz7paZzJdxo3
cPgozXic3hHvqu+zqU3ia1R4MvzbmWM3f0pSxXWeWqnO3newQLI8NKUSO4HQqn46kqsi9d+PBaDR
vVTy8E+JpUD9CGw1zhEdjUfvF1u2ZM+FGnCXp9rWi+K3F5qJDbGwZh325dzXxp/Y7KlO75Sy1tnV
7BF1fLKMnPaUUqDY/BkTLomTj5LgMQU4NczSr2GEq0ZxMofGbpyDatXRiJ8mDwUsOufBTep/9+40
qH/6FF+fAQNazewUv2kVU/+l1+PY4V1aFKM9BzA0+gYn1baMonHneSK24GqUYkGlYtogx8a3Jyz0
/jhdrqrZrnRlA1tW4Png/YWLr1p9dWIzj8kYSja62IEMw6LBx1PIsECmaF3e4nUauWN9dN0+g4NO
30O+jxVrwLo1FEgG4ahCPAd60HQ/cnCh9Q4OVdwRGjWcWlJwIGAstVKhkTSWMbAiNY1N9+sY0Tj9
Gg5K/jsqqsSlWpn1KdXgSvuqKVTMfIO9aPiOjOr876ab3U8AvLixvVwV45NdDOMp4nyF71JhiMIn
+sjvrkbjlwu2T380gHo+ZVOZ/LZjq81PVTkaT9Uw2E8QT6P25Vr4gZttjS2q1tj3xYAL6mcyBSRm
LWF5+VHigDIcETTBe1t1QnP0jdKrrdPcqMBagPsiW605fKxpVu7qesL+hdqoUHeiQvHAB4iHHIEl
M9SEE9sK3/G6wZWnyrP5r1jh/r6rWl2a+0o0+FMlbYsBotTSg42Hknkw1SI68vhANaSa0koF1BZK
EVR5UWIWDmg8qOledMeB6+2HARYz82XIHYOxaM9HiTEkx08MVGvrT/XQpXdN3GNkYvYu2DHU4rwI
BaFx6IN4UprxPkL2YtolSeGc0rxuRyRrBlcLVIVraKctQ/ldifvfrsBBw/RrrbSVwBj1UQNkF4lP
hDv9G3Z/eCfrk9d8MRMn+mJFY/hvDJ+9J61G/oQVURT1IOKSPpLq1Li+wA3HANBzseLcIRxT2e+q
MB/Tp7Kci+aom01S3Y0lHJ1DZ7T6+CWFaS4DUzpKvEusZqANhDn30W7wYdyHk6uWfsI/83H5DlTC
p7TEITsMMcEmRymdwJzJRcAlTojC8xOx3MPsT//LG6z8ITLKGS9LPFCYgzq2xjFWZgmrfI6Tn3g9
474co357MGB+W/zaAkiRZVX4Sed5qmO95uaHBMcZ3acMSw4epS7u0XiUR1/rNEnCkxmFg447kQDw
aSeuh5C1llUf0wyXlYOjJ2jaeA1OowejbFRa+t6certybsrJFz3IXgwRNWFy9HPV2s+4C38anCa3
PudplGj+YCt4yuWjUzW7VGBF+d5yIqxZqsjwIr+IBkcLSr5n9UHOqn4qoyS37kqckEL+IcUku3Q6
BEENmEH9rnVaglkzx2Z2KPJe+agDrSp/aWU64W5DzNxJdO+RNo8k/1ojdXCyxhSGjM92YisCKV44
D8hoOyaKzcTwbpd5RfoHP7Jx+GMjvPI9zyruk0TE+BkWjefVhxZPTuaiNYVPtmQudl/APe7Dsba+
6tbUuHhrwgPwhdFHn2ZMdRF6B3n/MPYhyWU/DCR5/Vx5WHqVZjT6WIhgHOOKMX6cpK7/bExPvIuz
Mjd3rWpELcHQS2K/CHsC4zBr5pdaVyesi9PQ2ynIeWmf9K5FsgCDTrwR01r21MbSpu2KDxzLaUZs
ceTms0P82R8Fee0zttZIu+DIEz+UmtV5fonEJAl/Wqa48kXCNU58Kqs/zJ0YGrZq4X3qoZsk+3CM
23AX0aMWp3hQsPJMgergbwiNyTmEbUg5eFbCHLfJctS+m4OyAKJgcyYHipDN3jN60KDhKMLjrPcq
OkRWFOVHnN5F9U0kBhajrpPGfhN1xC46GxiO7wYokvmphu/6SO1NzwL6R/3/4ei8ttvGtTD8RFiL
BWy3pCT37thxbrhsx2EDO0gCfPr5NNfnZBJJJLD3XwkjjrSLQ0yws/B+hZVYL0jSNPVlJ+NpuGFW
YWtr+Flq4v0S/jtOvQTzYTYSOzwGlvIdWr/9oT2j+FsO/faX+Jfyk15fddsFaPNOPlv6414vzWuX
CwpvHR6o37QNOvOF0/jd69QIhzOTimX/FJlQMRQ4eSIOAQOFfxG6xm2ufNWSlFsxfO8Z+z7b2647
/3nCY2ePOJCGQ5nXIXeB4NbKkPGSj5UrGVcMgx0L6qr88BFWnnCKHTNTckKj70wnEU2R+VV3Sdxc
adkwDuvViY67WrmHUsqYfX2kKulcjSRE+VEXOOdTRGtO+1ovdpsPazvm/gVHMQVJrU86eO3vFF5E
SxKmcq/JCkBIkfxzJs/8c7RI/s0yYLNda/rLssWhVvdsJOE+Q2CnKvaQ1jvmAes5updzYKShFehz
2zacLkXpt1QQJrv/DVnCDqQTt2FEFtOvOI/6r7azwr/2cadfuE4YVxlw9jSSxQEKfMK50gwZ9dNo
T8pydN/WPl95Xfq9+BN2w3Yf7jL/TLQVT4vvLU+JSLbmYmDiQT6pA1zFUQvpdKxolz9tsp2rY+Ka
OE/LpbJ3G11zDnXNm/mKiCSlzlBY/V375CSQ9NL54SE3XnShnGl1AG6K/XN25IpVfog7c7k2s/+1
bXKJ8PTY/nPg8NiP0RLXd17tOf+8pd3uVwEOTtPQHH7SzVu/ljSBKiyNar5ewoIRKYBMod4djc96
qRDh2sO4Ve0/ugDFVzeb2uN8s/al6jWxLHO/q/KBzmAJbdqu3Y+r5slmm02a5miFVArlplpuRGso
9fM7O/4rQpn/sf5QPC1c4Y+hKvVHqYO4TVe+te9o1NONaUeXWb/jN0/JYDE01zWCOVCp8mzblTOy
BUdaRehtWS73ycQantIYrdmqbHleE+KgenS91nSnwakCEHmXRKPTOtt1SeuxCqILmEv3I9RNEJJP
MosHOQW87h62ywigih2epivDmywjQ1J+jZIghm0SdMVtvsHC0RjTX+9wvvK0eSz2lCtpaE8ttb6I
ar7rNNGtDrN+8Ra6AOaIh4xGZfmQj3H5hvJCvW7eAg7E4rfMqT8ko5PmJDCEaRvG5rlRRfCz9om6
2+ZqLq5NKXx5TGKGmNNkWtq6muXMqFCBW1BDGSl9MiZJXrnTe9r4gqq7qXF46ytagsM//eqLO1OL
PTi5cVm+FwysCwWiU/JcJrk1eB8bPAZgLEGe2XIcj7FrouZydCVNZoUc5N949A0ioC5XN3Kf9je5
LTTbTcEcdkQeWUETKb8MxcWJQwnDWu6/88JYc8tpEbSnxGu8YytjvWWktq+Ms0PBcpfz4fl2bGJ/
s3T7r6SHFy/NhNE3rfQYeGkhmAEOXmOdf6qq2xvsfucjHPSKIs21GiKaea1+jLRdCe8l24EvYN/C
bMeW9UCum2+yctjDLl1jEY7HgrE9oLBeOlfBuvExE0wQZEG2G1VvvM/yG4Yv/+UMcn6XyOn/QBPY
m0ItNaXGpUre423t/4IEqsdpGdqvOtj9q56POWWw5Ky/BpaItAw0/+jgtiS/8rtZxfy9i+WJErne
jjlt2V7qynzkm+XMAAfxgvlZEe7Bsu+hiuD0jMbHlS11Swnyrd2bwYrgz2rn4C4K6+lTVY189yMo
tHSWSn81M8lTqVHgn9nc9mHLsVcrCjSXOf6EYWZIXkqadvdgNFNq+RLvSI2md9YpzHI7LAVDiuMu
9JDlkeqxdY0iTC17x4dAmvURV6Hk3+0NWEIQbvQXcqjzJrXrRAlziK2U5X+v+vEib8V2l8fnBOoQ
KlZTmuhFlIiXfbwcmZosdT/zXv9Gpp8/eku4rWnLfrRnbXGe2ka59pfE+69k4Q50xGQFnWb2Op7s
9OmtVr6Ge0JD7yz27qnvdPweFL5rr5KmaF4HXfffGon1HfERPa1+YZWYtCcF47djAFJTjxsY8381
us9q7bgC8pLoTI7YMHoynRO9L/7AKoeKWL6V68rVsfUW1084NUZda6f2b9TMkszs6/fLwe9c2izi
nmg6doachTSWhDnNTC23FMjrOR2kGteUVzz8EmJTNHKMG+FHNRsxTZxN89D57BPgQHDKF2rM69tp
JyjhIheJe3Vu2f4pWtldo19nilErI4arY/MKshyNB2TI+ZaZWMTlIQ4GBPQKQIy4THzzdxVk0/em
dBKetO69UxCuTPSdrveKWudp/nDGLXkMEfehte+IJEmbgHLlLCH/8QYqsw9SiLfqhdZXPWT0mXqK
UNaV2SsmOMpPtV+0LzSRR1vWboO/Z1q65lbGhU24CnX1HJPEG6XtoKvo5MeLe+I3HnYmN6zOrTeL
D8RF2N0xvXvzIVDBfKtwx22XDSzRayS2qbwmOZLLsWSspsTVNeIyKR2zXjjFEEWHiRZ1+h0LDhkJ
WHadu2p/mLWif343ZXNjO0uFsjsFdEEnws4P1RZyq3VRAY2plqm7rCKIoiNdyuXvIB/2zzExznjg
N2xuF6M995BsMw+3avL2XYtm+EpaJWl+Z0L5hmSw1OhtujywM3f32lihHh2iGHTxnAyAwAfT+5oI
+Hyppg/Xty1jR7XI5V7m9DAe4i4e7VezC2dOu0bzFtC+yK/gMKqzGc5+41+cBQBYnKsp+Q6DaqKj
ZJr37WPLF/clhjikONkpeXH2dfndt1vy3S69Kk+x23VvhKfL96UX9ZRtvmg/aKIPZeqwcf/aRZ0Q
vBQm/cmdQp7SJFw2dRTzktCYuORDdTmBddOQ20l3vy1Uwsyysxa/hHIGXnSNRzKAD4CtDtXQxLQt
+EtvjnFc0+CFBKl9aQzBCcSn751IzVSaDy1rxlAKI7ro2Cr+MYd+Hfmr6dWO5oOzW3PH8Dyyy1pl
x6wF0auOuPPbFkxtGD+FXcO4+Fb7GVKwzjg+xbWI4yMF9sgLt220W7ZX5w76NVq0kwlrKA4HnaP+
tIfT/ufZiGLdgd+h8i6DZBv+jPlC0mkeLaOfgTGz1tjIX0B6BOUidEV6QhHT6fugQ4TrgRJPQ9lm
3b4Hj0u9NberI7buYPTGKkQnaMh+ZSaC5MtJD9vJ85gxUMAUyIDboZ3oHsbc91xPi+fwf1/7e9ev
mdtsvTvtaQf1lVnYVSEN56gGUmOXAcStaWnoKwY/SvUQLn8xxJslBQxxhgO9cd1waOnyBrAakuJx
tQTjpAAljXOxotrdDnSM0MsdtEk88eh48k7l+fwMqdKy29u+c8/Ht/qsjFw4pslX449X5zZgkbvr
q7fL5GFojTYXyPXrx7krXO8QkBHxpBMCHMn01qS+d+HmQVe55cIk4MyeK05LAmT01pZ1gcajLlY3
6/uu2u8a2bCqBVyDbRrrhSLuYReEd9KMu6mbaordy2kY9JoO8P+vJU+VRlmj4hKsQvYFh3HFC1Wh
laG9HLkXi2gYFBdL4cf7gXDiASozr3WRxgSP51m45OZTdko7FyVb6hWYqv/QR1v4r6RUauHcKrTN
Zh6gKA2U2p0TXazNfphyb33dAkERr+tWdiYbQ6oIEqaK2mxoBwTflmwsEyO68PcNmBc9bHO/kaEW
ZPC028i0v8V3kETTrxyJnAPhDxRCnu22g/q5GiKg2sZdZDaf0Y+6FXeTcqX6EmW1A0rKpHnNYegp
pY5EYjOKw+PHxNRMTriLpjJ1nHPBZmhVc5X7Hr5ebaBl0oBkhu4QMblO2QLH1/JL7j0LgJHBlAX1
IF+SyWWvdjFdPkP5uEAYo7swCC1Lk+omhpOykR4el4qR90Amd3PVNiUzBtXz63hYt3L98nLrKOa9
bbitm5YOHk/n4nXapf+E9ndv00DnCQir003TsYXtu9v7AACsLAL963+SIU3WZPjxlsk8iC7Xb4La
dHWkhrv+CfyG65TG9P1rs2J68G1X/ow9ER4sB37+MNgu5AjKe+9tVZLM3hX06TLyeu87Xzjy+Kg8
Y/Ci+3JYTDf9iToBML/vK4lbS1wqLMlEuZDXRvM095x8gEGbn1lV9yGjFMf+RiQt/nQwE1xkSWnm
VC2uqO9ILIVPKvS4vgw2Li16/53qg8GLpp/JIbOFaT38EQQ50iy8BPG95201SO9k5l/CtEzWpV6c
O1WfTxpTlvlTx/Wps0276w3kCO5bhMwR5dfV7IZ3JthlCDXTqifjWuZd/sruwTMiJNpw5b6Lo5XD
aopC53mMu3q8mfPIMxBM7RocikgBUxKjHXuXyyiJygpIWAkO2u3sP76h82HFqNlkA3Dqm7uVgKXN
wraVBhLYoyCaJLjkEnTBtdscItzb2/6pOScNnJLOs7cce37H+sF4n4ax6P/lopUy60w5sgqvfv9c
m2TeMvjyaj4lkgZV7HWV+zQxgjhZiMrncWb8nzgO4hLyCfvIgjPeOBNDdmFIgM/bYaXR2oL5ibWK
7JXEEfgTBzX9nq27yDbjIbG/16UWr4VbTxVU8DR9dk0OWrvSWtKki1mHx5B40u+Jm+cBpNl9JLO3
9x5HtPC0w41tQ/3GmSE2dedO7znIn3NR+3Z5bB13bm/yUO97OvJ6hSfMiPB/tTiHHp/zho/tPDPL
+3GVVKh5ZkF9++qXXx118AyynGe8f1PTQBMNTfno4YZdjpNep2ORU2adGqR8fL/WY6iYlBM+NW7T
jHzVBbNCjxr0y2kgpo/dzFGc2drwxMa9E/3TvmOfpV3W+WaIQ64ci+fGzaI1MJ/g4JHMZkTIFyHR
t+VVJZHHn685MjGHofcZ//oC3I4YGi/PgHX337VZ3Q/b0K6Vrl4jbjC99z9htAE8E/RM4GoNBfy+
qGiNUuW0cPhBEY1X7Sz4L7fTOjLSykgF2djEwT94jwC2AxXBmSxu8Vx1cmbNIjje+QY7ARbvONTW
rIE+9G7t1Dq/lJCjdxSU41TZVik60T0nh4yPSvDfA1ly/TOtmvbLoOT64APR0sKyobpjhDskpD90
nfXFRn76NYCPs9FNXZgXpqVOHQo/F07Wx7vwL6yr/Q8n6Ko3VKrlnwVs9oM4T7e8gKdu38a6Cn6m
vafYiaHHAfOHm/sa+lHemSQet+kYrIn7jXB82FMvrwkBoI1CNldOo7b3bi+m4Noru3w6aNQgPMgY
O//xPpoR9HCEJ65WZRnxUN6Mx7AR5XCcp0rezKRNQDeZTv7kfgsS4PZxfiinLdxOUbWjJqyWwBFs
DL2Yi7siqFs+M8yAyAzPqz31y+KrrOW3u+7c3oFLxpD50wybfhq6naFW5HMeZBa42j8GXWDqbHCU
79zsuZrylGCi4EN4BkaoK2JPn2oW2OeoEe6QJYEQ9qqaSu8VOSzJAI5bMhtEPRkuvXZBZ4rzHJAW
eT48qM4fFIf71r2ICXqMW5rGj3R3h+jJmcO1OG1Ct3+igekoqzrA6lSJIuA+89TwqkcT/MVzAT7T
NQuNy5Q8Y774LUkydO98a739tpkoi0j9JgdtWosgekCrOzSHmHt4h2qPqWhuRLBgr1tJhzgVFLio
i1yNUX3jcXyAPJejdo+UIlWvdVNY4J5gE3SBo0ui8K30gJUHHe6ZZxfUw26zN2/4usI2bcmzKPjj
034IO2/XKVckHMfCTfMzE6JLv2yQuNfh1uYNGZZJeB02sTAA+pt5Kfkq34Z9x2Rs6qTqM9Fw9mVr
6ZVEDnf9OJyAhIrHuTznc6gtdN+EUy7v+D14/bolR4Bi28HMh1LGs8wKMSDFkHnsXc01798nOgEO
SBl1EF2ez2HbMGbxcnbeNKRuBcRAuAniSHITZ5bYKhw13UCt618oTe4bt0GUH6VhiUhlY5NTt2pR
3wZ2y8M0No6p0mIlmShTHYDqZWzD4GcIxvK940gp+RKi5ap3GYkOMRoo+bw3arm10umrW6az8HYb
nKi7CNZurbIgaBHVMDmA1rju6k6HdvUEAMxe8PCUQdB/rHbhg4x+VTy1LF3vhp0Ai4/oCTjY4yH/
1cQFnWvuvkdRBvAPDQDVO90MA2PKqQVTbzI12GnBPutP9+6y9d9CiaC6MV4YXOK+Xr5DmoaPjlcu
4z3QPZyXxhRpOZTG8F+yttVfC7f6o0Bf3+QQIp3IBxJ9Mr8pmN70yGh+qNZBPmjkHijE4GDJUVqt
gXJYZZNZjxhyQje36TOqew7BpQQt5ybR0ZTVTTXzU2wRj76Oh06mXTnLtwTp0WepXPPmjFG8pK3X
mc+OkGj3UJereGKe2FGojPzjo7j9JeUyvTWmd5KUs9qt8UChO0E5Jin6VbYYKiKPwm5nd9tnnVYE
wAA1kCAPzDVEU5y6i5GfgavlL+qGlycpWFDTOV7nb88pOuYRlqDhkENrXrV8QEa6fPFvKkbSMFPV
OvdoVsitJuzTJ5h2HRBZ8Oq3wwV3YfkVyS3QxEvb3SfnaazCgxRBRLMwX6CbIcuNeFdznoOs8vwK
2TKZYfDnA4Kt9HwmY1rhB5bpRK3UbRcDd8LINcMbAVPqb2PWqUeFv6uHTjF5Hu1aDNBa0LvtIalX
aU6mhtYeTdiOmY0aySfLcYked6pJFdx4bP4MjdN8shDg465asb96rnVwrYhxe5WFrZ89u7qARu4G
C8f10Q8Zeg2YaRXr/mHV+XjfSs//NXVs+k/ATr7MRpRXfyzOuo+it+3LHDaM2CjAazRhVe6/lYHt
ceDbyr8X0NzlZd8V42e59mcFIjtIk27EuOmLxekaka5Lwn0h7FJDJ0EmvoYhopa6JOYy3cZO/6wY
Lv6ErKAF84bP++kzJDBNwHElxz7cKp2N8178crWLmGiA0Tm3apTQFUG/8T1XLfHT6bJ47pPxN/PU
Uk42AF3K+hNFHUuI1etfg7K4Tcv5/BTPs6z6y31out89hDAPdKJMlQmAASeFOyiTFNAJKGoPm/Ku
1EMXZZP0Ju7hjT90Gku5lNR7lIDjyhFWXco2Rzg0F0Y/FXOOxKI+C+1TKbfSokdbxG92c/XgB0Dd
fPO1eBgmXTxipyE8N3c7eeW5Ggx4OkuUeOGCgIDIpl/iQwSo9gaoOHw4xeYFx8hR4LLrVLn3aCa7
MMNXAnDFvhbCStduZDPOWcQbjF7dk12oiDmI0ecHLzVU8oFXAJdHgWLvtyj9wRz80jqXm4B+5wwv
zGc8BPlrwBTD9xSK5cv1d1h+DPEVNTNuYFnUxVa+uXkV5NdEsm4P3UhizIlXgYMNaR53ZR9QugcD
u44Fk7s/gTe1Q8hVYfvpVkjOljTShW4OWslxT0Vo8wf8Fuvz6sX6a5VaTpcumSE3nYKKZ3Lrc2hJ
GXyC420cf9FUXPY+Dnuw2Kq/cLYRZY+RYrjho85IGyKvLDOL5eqn4vnhbyDD/TQ7bfhvkKUKj2Ja
u8/z8cCWBudBljeTxFWUm5ZYQ/jSjzHeXPwOpV903FAiBp4Bo7hXE+YC5DFhfr9Hika/HSAOLUK5
9+shyftiYCSS1fVOsbOfDTk6dQAM1B+nUdjmvkl6Ls92bDePx2fyr5sAzonMG6dX7FBh8+xoU39v
/R79KdGDI8gsfed93keWokCRuiNNidqm8Bw8hsXi5Izl4eq/8xTWt0jxv00+qzHzu4FpL6qYz6M9
9kiE7JRzWXsDeiazQ3JyYNdjeaxjRvZ0FWyiaQ1dh9go2bwrRDllfCTpjm6msBP+Z4cYjtPK5xqu
u9W5LOeRVwLgP3mcvcF/HECgu0O++dvH6HFr8vDJ7cvrqBtK66YOb9YZ7VfaJX31tlnoMjCpLbjD
g73xhCOuLI8Lwr6JbKhBss1HDSxGOLnONT/chFajMeK1SUyBkO0sQOwDGocu1nGtOHDz7mPCRPp7
8+f+vnMq41/WanBOnTBaXnC4jk0W6V6XEtUEkCB1QOAJar1uOvhP98wkoqmL0whH6XppkqCFb2ir
cOYE8gB7KUrB6EBWPvT26je8T/wI+YSOSQchxMca3zVbRaPZ7AOP32EqAz3oTBNGdMtM6HOBJUAr
uDdKfVyHSPknmoKAtOvFn373tbf9bB13EIlcMM6HWtvxhfp1oW4R+lY3NadFm0XbeauCY+YfgVym
KtKI2es3OaTiBtciNHa0b/WnLOX2A8fH3zo1c5McwK1U/DDJFkCYhsOdfYD8W1jXLg6md3xwQ3BT
Bn31C9GB1gxc67AgmakEmhGDlaXJpgEF1mUBpDbfYqed71aE5ksWA3ftlzQkDlX5ANdqvFcUFvsX
g9eKHt5EMp/fdNFgBTlORHBFVwIq/5OU7+23KXyzXMDJx/0hYStGY7EI0iHZrwG3i2gXHwmRaMR2
xWFyXy5NUqIGK2OG675/maHxEVY5lfMlkEd0h71qgvyIOCRBGsVq2h7kjEYIpvv8AsjFElbodfE6
ZjF3SsiEHaE0g+lLXnU/xk/74m8OZOXOx8ShPF6gtN3u9nXegd92ToYDxMjyXCCaXuCH3GYE04yb
t4p4BP+w9P1E6g8qQIbMprVgxXPAkTO5DUt/jDDERTKmtUaXIsoGikHw2MDfEuPYDHuUX45gyxUh
RQy4We94UIZQcF14InZsIJuJKLX4BHLfcDf5HtScREZOZty0sy530+pBWlHW+sLwuK3HkgTVa8Jk
XBAWpxOC5Xjm8d2MQ6rCWLc2TxvL8Q6PCOBzRSo4yzSCkwht1167n0HjNfiHO2I0SVtdG3No/VX+
LfeOM1BUtNGkwm/BaJMaDXC6cFg/T2pUvxAm+sORrd68rUXZlleCwRtuoxr8p6jwSNgy7sATqcNO
u7CGrnu3Mdx8jvUavxAXnCA+oq0oP6pkx9K5+56+n+LK+1P2XhQc6to4V3tQ9MPDlPTT02a7wEG7
EaNg78+jfZv7zZRJZ0EVxkQucF534fzelYo9tyYWlEMeEWd+ABmXTxwHcEh4zJDk+p0SAvGbWB45
pvY18+sGjeNQk2i0jf/fA1Ina9o7vb7jaIQnRkeU/8aJoS4tyarmgOABehCZz/hh8cfNhxHB23hN
b4rzrzBd7F84AowvAyZwuUqckAZJDhcRH93NZ/0keFz/bQtv3hiom+KNjN31yZbTyg0zhMXnqK39
V0TI7E7NlDRfCZf0dAx5sWAixjoeiaCpI3ShlpEz44mH7Jal4L3BxcDgx+rdfIPRd5/9EFVb6hIN
/waLC0azzdre9f2WfJL9gpoHxjgYYQH2GsmyL+K/qm73r4rdik/lKjRtSxutMqurOtBnOi9YM6eK
1J+KbFeKe9wdu70EqYP1rM6ejnlNEIt2/d4iPnEcfvwC2u563qynUyfyNursBylKVEZ1MR3jIUF2
zd1CpVJcyL3IIGTHe5rHHHuInNC5DYqOsoHK3VR/wfzYvI89pzJDHNKjxRs4+hE8tt/ITetHfK0a
nWHlteKIIjx/1JxPZcaY77KmVf3y4qEV/zXA3bwGITyC5Ha8bXvlP9fKl93TWG8LUTtJtdpLL17N
y1zOMzGo++QTAzQonV/Y3q+fl8GfQZ42i2nFOjtoI7MLoam7FzfxkS1JhMdK9qyLZh7D6eBp3ppj
oSvD+ZhsU3fVSeMt2HE3GSdgqwHnQ+Br/ucSO8/3UO2DyMha60k0qF1bf8U9wokLIjLW/G5lx0HQ
FeXrs0E39yNZDfip3XOYS1eAteeyRE5mUcAgb9CO+tomk7/mTPp/CYU6w6zWbJKDgBnwiBXH/8AP
gtKjxR70MVaGi3zSbnIxqq2BZcUh1F4a9J3P7CoDxca1NyOfDzAHbe4+utmscCKmjecphcIEkOSQ
59hkmCOj6BFsmmkzwBVwU0/I7w4VFZMx5MHC9YS4xn/z7Fh9mRhlb6YU/ehsWs40ZqMT549dLdEZ
Mfkz5EK7ls2p99vwRbQeQp6F0JDHWbh6z8Y4X7YU+xtqpiFy+tcmquyfeAndlxBCyzm6+e6IQ5kk
kBN0QxVV1kwto6kSfvfkxjp+pr2x/3DEHCBY6vvCyzgPgQ9ph+tusaSJDl/z5H+SJ4/gEzluezVh
vFqPLrnvOuPf47zmeJ6v933r0YgAoP6dm6r48EDTUNSOpq1gYnnEqLJvhUUpuJ51lwjcEAcggX/P
O1vKA4qkHRo+iocLFPb8SR9tXc+9B/vGcIwkP118ctKOxaSje10HwnBUKzcA+6vr39PQVK9J3iSP
0IYgLlue7+IMcJk+jUOBtcVUknHfcrJ9MjSwanioLFPdY3ZIMVblX2EJVHGak7GWB4sWIkHnpe21
3MOWrAvnfMPUzqiqo1xLYFmFosM/um0cPZz3zoBDZdmv5n4upixfVrA98pu823nd5a+i4RRLCbis
aCBiLTnF08A4Q3jz9G/D8Hdbja32DuvkwJdXMa4CvmkeyCzQY6HSdbfiNwZEfmNjiUSPq9199U1E
VMuI7tIDGmNES7em9zDeNF3ypJt8D1KW9ZKhIXddXgjHE7+2yt9/5dW6uAjCzzgzYXDLp6xnf8z2
DRwm22mgyM+5ghbCDczosbVDIZDPslan1o/cO+xi032cFAiOI7dlsi9kpCmLSobNcNJDz3uzherd
TbPlJ4SisrhU7pw8ia4kRSNJYOxv/HWDzYAOnw85x/6MxYK7/sqrZSLSWdOlrLtJsItqaPcjy2pX
Y0Os+/7Jsy6yADRjMyaa3IHvwiO3HEdT2uEwOcaVWbxjgc6Msyyfq7+J7bgtk1ufkjJpeKfKJGTS
QoC6I58rivrgAglWf00BMHNcduGuWdtjgGcwsw2Si2T0qmvyx5L2blur+DGoGjUe/HVX2LR6NHYP
WH4gtRd8CnwZo9/+dZvOnU+23HNzsAbI6lSUDMYHl29xOuwc4swWNSwVX6wahAsq5OXP1RgxS4xU
XwiEnitDiOVd/VGdoVC9wvfx3GtLwstIDcAdhQj6N5pZCQnZz+HdGMA7Z/5uB6TF8VCTxShzF+Ut
J1cqIFLu3dxF8mJAUlHibciyDwr/0N8+H+yvXrn1g0SV7pwFg2DHoLERi2g//IvzleUPXBesEPSQ
iasOIGx0pJw/THybzlhROkbQdYof3MEf3YtcxvufQmzOHRbT1bnBTOb/3QLXP4MzCnkmXULFFcBw
ucOPOt0D5gLfRcPvLyU0OwUHGSIg3qjI1M5TSelBk/XS4QdbHSd4XeYJWnlcQujdxpmTKysKvV1s
/N4vOze4uZSgGVc16MmT9lcwJDLOllsEEdySPeqTe6YDrgvlzP2a7jMgxkVcjRMAloeb4AVMUjGC
9KuHXqpr4qew7RHDct0UD6NCSZyufMvvKNTXh/OihxTHUfjBhOjnR3yS+XczgCBnq2/YMKSJFTIR
KlU+ktLyMhdDaSP0WQq4oq0J1j2Shie/FWAbybDeUL6WstNsvk4yfpAzFCpAtk59F+44oYLIGyAl
3NxqQJPeDa9ujwKAQxb9hQzIPE6rmVLyA2+x/ZPYcF+Z4320IBtQbYAKh7ERnbRUz7LCy5DBQoVf
QTxFT9xBs3/q8wKem0d3Ojq6mBjxp8EfsvPpbE9eDbhzrI0Gxg7iHWFkGbcPZw2qPZRmNHdMLt0c
XhYw2vZYSjceiZYbxd28cmteNn3vX8VgIl4aEzDPCt+bwX2YMQP+nXJnfwhxi+p0Q1ixXOod/O0R
71lOtqmIer6bUgb9kRYvHd3uOlTDG3uB+I+z8+qSWzmy9V/R0js08GbWaB5gyrU35CH5gkXykDAF
74Fffz/00b3qQtUq3NackUSeNlGZGRmZGbFj78+CRWKUMlAhgs/XY265TV9IX5NsUkXugDyPflpB
3Ak2zy8wir5E09S2KEGN/2GgGmpRcrEyjSChkBoDZxuQhAcAFI2fQJd26G1YtC5tlIJeHjtvR7Ro
r3dcz1wC78kNEA+A+hO6BhGSM7KQi+buRBo1qwT4Q0FYlb8Jbe7b7bFst8axHx4FIYHsVfADlq5p
3eTYStvr5pcN37N5tFppxzehsaUKdtprTQ9r1QBbSW1ar3gOJUCZ250ISlChu7N4oEZh2ZOmBjfV
kAALvm58qSqGwBzWZVGk6qjoM3/KqXV0wnSN0l1mH32OXK+SfDZSiiygd+RVEQFrIosW0JlN/Tzi
RUWPqHfMQJtwiSHhXerNl5VPtOw9X36iRUc/gGe/rFKWI8hV4jAlTDcOLNnhqvS55CpM4KEWXtGN
5iVNr8HvZY7bLCMDIPcB0PCRlAN4EmtlppYUAG8fCxHDmfVWUs6YxcqBCN2qPImzNCDdSu9cALAj
IRt5rHM9d6/PwpIbYrY2M3wYM7spmJgFTUrRqxky7yBBgAObP9TIUIDH0S7FtXDQhh8I/corJDqX
3BDKPUnXZh+UtAX1BQDJOj/W1OFpB5QfdWAmXHMlsLiNOOxBz1nbIqN3O1f0j8k/zBKHOkhjffZA
7EsLDzRzOhDBv1DugwiPlivSv1HxKVU5C/ZkgihtX5/a84Ge2lv416gLNKYUBY2Hmdjzou3HuxG7
N+AxFLDiZeOWZlk+W1oSbK5bPvdsLEM+o0FqbKBHNX+yd4xj9ajlUqTi2SgkiYcAbCsHb5F/kKvl
bT4RCcRt6MggiXNqBdORYpXsaKWXmoM2Q9/MVDpQlO9fDPDWK35zvi9g3yZ8UD2mIMhqnpozVcu3
UgFPrRpOs4bUsEPG8Q+aa6Td9ek73xMqPBsGauSUe+D3naf33fTRylVVQ8TZ4JdyuecGQy8W7cOR
A8CTruSKdO6K7PpFiwpETHTA05qwZC+UeGGXacueL0Kh/+mPJLqsJp4ziVV4fISt0VzhGbnkIUgn
mDRCmNA/LdnFexQhVCq3ROOq5b1iTUVduIVRd9l/4IpIEMEJL6kqq7aYywgwOTcK5nIqjRKsc2OB
ORrKFSuX5g+6cgnwFCooYOJPV6w3wOkeQ6w0IAR0WgutaReHcuUN5Fip4JMLu+4il5zREi3QA1zL
iGaLHabnlRaM5uwiUmc99RnEIM4QBIbgtQmXmpVIsiQpmneapRgis6jCGrGUKcmtNuEOTOdxJQXp
94iCHvjQI9CVqbg162yWJBaa7vP1IV4IXxwMkJBJxEqE3+TTOZ18c1I0QKI2nAJ0dEqGv61H8q1K
Gm/KxDfJQijqVlUAPK4M98JqQgJLtRlOJoKLuriodHKUh2bJTq/91vwq03gdcxZL3Q6xsnYT0B/t
XR/qhd0wX8iQZlEkjqRlaKl7qwFjl1DLAh7qajBbblpBWVMlv7CKhgyjmy7BUgT182JY0NUEcTbv
OV8+SgOo92Mdb5W6lsSNlImgkaNYHB8k8L/hSkC7aJmDgBY2xALhSz9dSh/c/9CgBmbHZss7mmYY
3/Vr9gZJklr6QWwH7NrTyumvGL6wTbAncruA7Bp82/zB3kXSipZ3gw5TJvZYDIc6EzsPJljhySKD
shLRLowR+j8FARO2yiwXfmqqTER56rWU7nx6/1yhAlo2aBWNtxEFpKcCmPKXo2St8RVfGKA1c8Oj
H6SRQREXa0rDNBzMHZskkiDQESvgSLS2+NtApEvhw05qgfmwUNlA9gYSzNMBxjSdk09igD6EQK7V
gGPqS22N7+18K8yKCyIiqxqMb/qSElDsTFQ8SnRgBAgEHo79ETxfGHcrV7ELVmZuPP4hekKhvwif
Lf0qaaZZFKMNMKKFlGmgdUL9w9uaWzRbToZDURZhPzudsUEMu4HrOyALQCPpQwW5Tu7mldCs7a8L
wyEwS7DZixxyeMKpISpKapCRP7WnHmbSKJUrB8DiCuPweVR8kxSFLwuJeK4/i9HIXFj6ISPJyXCP
B4JnNHpRDf6jGOj69+iwLsavH3U5yHgRawSirs3SKou4EQHrJn/AjVlRCp5soVlsinEY3OtWLgzM
MImLqsjhpvPOO529Hv7WoDqWPMWtkpJhEhq3iMnUG9NoQ6cYgjVxnsv2eAIgZMr9bsmK38liaxjk
dYAgCDX1P+REqa76AZ02sRjnT+1QKT+vD/GCgzBEZMw4ZeD8P3t6w49P1woTOYZZROduTnUhb6aP
+zucPCTGNGWOutaC5NuqdXrcaTqw20T0H82Bhqc6Po4r6pXn9wJSURpHicFZSUv8Yu/6egjd1Eyf
qSBtB1IbVha6ZvoXIPvW1upNenCPwUAJr27S7fVpvLByXLfgC9TQKpTIpZx6SheJUVkiWGLnuhp8
oQVI+0JrnlpvkhzaDls/AinaXDd5fqwgTMFUzpUcTs/loR32cmb1qGjbvpJNWw1U1rdEoCJ5K8g8
zx99OnglOy9D8rnXDV9wGRNaT5MNaLL/llyz6F5ygYVv0O5gq7qPNTW166LoP3yPZXgWvJcyDVdQ
fi/Or7wY6OU3AX5ZiZlt6Wv0IXkTMoOtkCSptuKgl1yHo5ls4DyjgOZO169VkMQCp8q71ByiLdxe
YOuSSICV3jfiO/gIxzuNpN1W4XL9+vHpNJhG1EZM3EebXevdTcSIyF0Hugb6HzDTowTnk5fDqbjy
Rr3koIbMm5g7pMZTdXFnhvOpUGCcB5msHw27BrDwTRlg9QR/W+7oE6l3/8GoeEpDdMuzh1B9OqoJ
OpWcFkG8U82LyKXLvdCBeUGSteKNFwfGK3++fPDf5uKtDzMVsFAYGmBw8ekhQBmYgkmdW0OyO6aa
WD9PdP6sZcIuGJ1FUnj3MJkc4YuDYZKBKRcTfTYjim3UqGjhGsHB5/DaBGnqXp/K85sczsELVeOd
yqmgLGJL2h/psoVWh5aohuYiJ5qGMvlC75dRDnSIj7289qp700U5zQfPkim8rEzmldvDYvWG1AoD
ndKEbbHtUi/qGvGuH2AQs6Im2/kmpSMpKuttCDISDUCB8pQdjAYFwRSOvBXXvRBvLIhPCOmKTmxf
Xi/DHmQm6lA52Joq8BDSBcIXwBR/fZYvj/mdmXkZ3u3DWG+STvRRv/GnadDtqp3JtZCKVDUnVazm
QUtDYS/21NfMBMbaIqEUDXG5iSpPLK7oVF3yL1b8L2EFIsNit+aQyfmGypADsOOOClr1l1KVRyBh
YnDoat5o1wd/aYpJfnOWcHLOom6nY1f1CW0KaBltQ1NKeNfoIDLGtF8Z1SVHNhASlyDHV1jLedTv
ZhhksJoMLe8EKPTKr34cUEcs5eA7wttrV4GLA+LNNTOUg+0VFxMIOzIAAYkLR4WIuOtXIAIp1IQr
F46LVmgqIfCQ+yB+nw6Ivia/kJFNRSY4iMwNNEVq6/LSogP6+vpcmjnkezhaSbyTfFhc4ysu9yZN
rRgSGnEjgEx3jbwzngo6hl/+E1MQP1vzxRoN8NMxpfVQN5bAIhVDUzyYfhNS4TSB8YIm6uNP/4Ex
1K5IwXHFlpavcOhsQtihufB2FGA2bdsgfAlC3O2aJN1cN3VprbiicQBCx8wJvxgXGCZVr1NSN4qi
pU9QWZj3utmZK7Fq/i3LwAlJsjGnhzghllzMWdLpYzThd1kNbtJuwYruCY7955AM1aZo6fa5PqxL
nkGyD4giaCVqWIvjT2loGk91SmfwaWVOPNEeV8WIhHGvD1cW63xsZEtUnIKDj0zGcmy9KllJDaZ6
7qautqFfPuVmdQAqp+/EKupWBnbBmgnvMvIJaL7McLNTP+xbRUBtnPK61gv6IUgt4RVpJ1p3pHZ6
hKLPX7lvnvsHmXUJ4RzuETKdrou9HIk6gH0hp6mdGvvXQppGcm5y/3x9uS5aQeWQbUwqg5rn6agE
odOHCXYmEG0wsKpdUN0D4VzTVLowd/NdiEILjwOSzvPX3wVa0vV0R5ng6rNu7B4lyZ8hE3T9HtS0
1/+QSz/5/eFh4YIkmWTY6qnwLIal6EkVBSFPAhjGuKyn8p9RZnxQo5rEAu8BlbBEQOfwWF4pZQGy
iWzqeN7lCiy6NdwxZJfVzAGKQYOayJqt7Obz1SKua8hv8qbkirksCJZdQQdOZ4HnS8r21phi/05s
e6X/cHSnpUI0UC43iO6yuYjuZgreBwDIEWaMJvfSY/prmqFmlR6vyWCdDUhXJF7ghsgTWUa9fLGp
YPqthFakEVEqx+hrmguFd2zCD+fnscLTlOvELJbAgE7dDyAoaG8DuuGKNtzSPmYmVDj92B+Vu64t
gO3FtQWIjj55Nj9Ml+VqnezSOOewwYucCELF8fQTJLx05oZf0EtVAlYmqpTwVo209KPnP8fJrLHF
wczJTGg8NSNCD9+qcxqPtjDTtZT+VwbIeHd9b8137ZMjhYznLBcy18Kt+f9PjVRRVldNrX9r6REu
cuFJj3apaGxySbZRvOGCQ9MXeg0rPnmWXZit0mxEWledCYMWawiWELbeQf82tAcrNG/TzpNz30n0
2J2mL9cHuDRF7lik+oBIDhlXOqAXwSOCV2ICGkpXsD4E97Cd+E7bp92NAN+6J+r0qZHZC73rRpce
8maUGj81TZkrxjK1F8M6pPX5ENrwdxyf6A9IvMkcTfe6leXp/JcVkzuvoszCeov9RhE6gA6YoYW0
OfWASoQ5FQuLkkNf+Rpg4oKxWSyEPjQq3khkLKJ+lefIlGkzGjH0sdUX5jMHGifm0PgfdHzGdWJq
4fia7vvGVGKK3sSeJobU30Ku8tEr22yFzA/aGOTViCSLuNi2UgjyHnZGgoy27akaU2ybjM31NTr3
BKqzdEEQp8g2kR853V90HEyxptOc6EdFwSu2DmFYTD4aean8nFhZ7GIeJHACDDweIQT1bXizvopH
6ev1kZw7AOkIqFkR55irTcZiVYZEaORggkoN0SL9T2mAzyGhQXfmlTDWpJLeXPd9WOKCgTFSBFRL
qC8tFep6OBLUsaOKRRUdFhnujALN2kZ9WwlpeQ/4Nt80etvuIH+VnSGK5T0suclKbDxbO97IaJ5I
oLfMuYdzMeK0hGE9DY0vVkQHQAnNojPox7Xb1EUjIDyYUyo2urg0Au0LNMLB1+NYppanlIp2yNCq
s7YfWr0ZEaPyEKKEgiH0Txaxok2SwQr1obcRwwtBLhfmJ3hTaCFV43DljbcY0V+muOUi1UoNGznD
U5dXfCM6ZlxubT2l+btmgG6bCNJakBBP7VDQpbjFtKkKC8QpuSwu8K8kQQqlp5v9w+Zh5242tr25
udtsXHdz5/D3O5f/dl3H3vEn9+5ms7f3fM/dHX89uC5f27kHvuYd+CPfvdnvH9wdX73jh/d8q+Ps
+W2brc2v5NfP37LJ+fn96+Zhv+e32fw625u/vNlvnG98Cx/BduZ/w5/5i2fbzs7ZYZfv5Tc+bh/4
9Teuy6/6xr/Ze7bn8Ru/uHf2fv9q7z2Hn/E8z/Ecx5m/zePn+X3zL3Nu+cMdI+ETPc/mtzvn8Nk7
zN/qHfa259w7Ln9m1LttzuAdPt3G2906zmZ/t5k/KJ9ty08+O9/5rTu+9XD/stu9zNPERM0/7d7d
pfZs9sXhX1/3wbfE5b939dmKLQs1aVzVKrClp7vNw7f95pVBec53Z3dwXlYsvSV7rllaBPemrhK5
wTc27tOXHw+B/WB7X+8d0V6xo8zb5pqdxe2iLuuC/mXssERf9s/PrLPDfLMku5s798ZxVqr9izzi
+RQuXuS+1JQxTOpPd+63V7yFdbq+RiBcVoY0b7t3zzvw2fQfwY5093SzuZkdenP39g//+/Btw954
wFfvvt1tvt09lDYb5+7bN9bSvt3iWPvn7X673Xrb7a19j4cdnJsd7vz19vbNHW9t537HerPz2Bau
83Tj2OxP7/Dk3NzgfYfdSghfdYT5VHs3GlVE0jJmvtwv7iv7hhlb8+q36/41H1jEO6h2aGLExM3m
20PgsS3Z7g/zhmfanvm/vb3lT/OuDmxGePi9g8vT/u3udrvfvf30suYibxXxax9oeaQ0phKns1M+
7F8fNs7v3T6yN9vNPOl3G2Kc+3I3h0kWhoXwbGKgM//Vfdi8uq/75zv3S05s29pfbn5s+AUM5WFr
b18fO6bPJYo877f4nXfAzwvbu/8e24cXltp1Zdt9wiG+WfYn755IsnHtnes9EYcOd3OAue6qbw/k
a+Nc3K2OuTAoEp5KwL6zvxBzO5vP/XW7sZ//iswMjyB647g3Gz6ER9y9/gmUt3vItY+wuHhNUBuO
/TzVXwjvd8zC3RzX7l7cB9e52e+J1rtv7BaCNRGfU2LreSXhdbNhzjl6dvMp4H5hcTbf3P3DAwEb
v3l4Dmz7D7xow5pwSngHduEXovbBfotl++3+Yf/8ax/Yv57nX/rj9eFbZL9O9o/A3hPsiEMPz/z1
1y+8kZi/c+5fiLH879PuxXvZ/XYI+bsX+5VTZLDtwN6yVf+4vb//4/6w8z7tD7s/X544KZwnjgPH
815c+/stB9Hu6cZ9YYva3uFwS8w+7Jh6l1l9m2ZG/pvp5nDFImfL7o5z+e7G2Xn3bPW3b/z8wr+e
g8KLe/P05QuO6Py5siLXoxc3t9P9jqxSLhgcMZySN/wH393euRx5bH3bcQ9/HXLOih8gVXc1aCJm
d2r22BlGl2MWm0zH3QP7n602W51P79JmF9k/5rOecMm+2Nt8I9Fh8zyfyiw0C8+fnvmBvX3PhWDD
n+af3e+39/zv7oVJcw/O09vFhmndzKcmO+qenbt/uy7sDgc25Ozqm9kHHzZzOA3tHS7E9BOtNy7x
+GZeRnf35Y6bjrt7cPmZ6wswnw7/3hD62+UPRM7bHRNl8iVAdMpz2D2zkAboUIYYF6KaW0Wc1nBU
y66Kv8wA+pg1kakiaItlhs6wA9Yk0N3YadUuHsrxFnLf9l5rA20bUseg4X7Q4Megrb4/om0Hf00b
7DXo9Bxu2mvvr8Xb6O3j6CA05pcRecqzMrGZyTAbw+CVj0Ni1+oxuRlgmdpEUA7cXZ/gN7j+cobp
XpC5z4OpJGV56mqqmqLIMXK9DuPqtaXnGkZTZTv5xx1KEjstr761Uf+tlVA1VP2XTGu/DAADR5Jx
ZXPcIxe0Vj6aw+ziA5FfMcmzWDLdDUsQN52vkKWYKBeJUmUpv1Jo+Y+HrAZ89gileXbcHKMplZ+h
6o1+ThEiISsg8guTr+u6IoIgB8cKJ/LphPjVJLewsnc2iH2kFfQ8d2nrKtwyjJOVjX7Bu09MLW4T
pTTK4Ti7Xdjowv6IQ9ySI2xX7mCXrVg8nWgwmFMUpwOqYBvxs4Q91E5BuJGtQdgUMhSg1x3pohWy
3RLILLAh+sKPLMSvEhhx8aM8jr9BVlPfC52gP1+3csk5QOCyJShbAalbXI7AwQZFl0J2c4ykeNul
XJdp1JUCL1CD5lYsINuS26I4KF3cffq4aVPGIcBxy+cbBcabTOpTGB8UaqZ3g6T135GrEvYw8GiP
KWS/MNrq+iNP8rWWjfOppZ+RNDgocnKchITTBRR6EDdCFUOrZqrlXXzM8l1o1WsgmPOpNQFmsXSi
KZJ3X8IoQrHsdLFIRxu2hGdR1753qvnqT/qhg1gPKv1mZ6jVyuVyvjqe7nUKxTIkTlS/ZTqnFldL
2sJ7qiHZCCEIHFJfrAK9ll0hKZHuwPxfhFBp1wHYGJjT48/Xl/P0ZJ9PFlMinQDMFFQMSOeFaTDN
9PgfMW3q9Mkpgx97eRGWHhKU9KA21VpB6NJQVXAqNEwBpiWdcbqIozT5aiBDU1j3sFDJQxr/kQSB
v6H9LYZzwih2SESsyTKfx7IZpQVynG4fPGcJYgiRgIavBtpreCYF5yjmgntUa2tTQHvqXp/Pi6Yo
pcDNAcU0J/bp+ODPnZDRhvsPQude5gARj6LnW1GWbqR4kvTddXNnewIpZDCuuorLzhDKxYktDFDa
mBqNsdoApZpQQTtaHNGzvW7lzEnmBkJMzMgMDaX6ec+8e+5ZPi/oCWpQ+ItTs/a4m8eZm+ih9ict
+yYUtUWsbq6bPJvHhcnlPCbwMpgITTkwcBSupB5/xYbUuGmZdCuDO5vCt+5IkKfcroAT6otzIZzG
UISpMnKCsWz3UMilDi3b2YpfnFuh3AQ4EvwZRyqSOqdTCNl7Fxsl5DHWsda8MuwmiDT1aXt91pa7
i7sLu4p9hZfLJgTxp1ZomJeQ4gSA3Pq++DxYHVqWQbsfFaOz0YUcnrt8XMkYnplkxsgnz910czPd
MhWfSIYyKDX9rVFdSe6ArIzmWHkjPEoQXj5YZjPTCI+Nd32g8/K/j5jUKklP0mTztqfJSZ4ONBn6
thOP6HM2m8hund7Lt8qd7K5VnBaJIZ2gcWpnceZwW2z1MsFO4X77nLlIotl/Hh6/Xx/MW5r42miU
09EMeh1CyIAVeQvO00ZizZPuYd9zkaVzNA9ElH1T2QdUjezxj+u2lzWBsxHOjvt+b1fHRK1mpVNh
pzq9Q2+i/dO4Mw4fPVeXMzlv+Hd2hiSDpivDjvrkb0vYjj7TZ3bwV/xieXovrSyOF1iS4kSYRzNt
kGxz4HN2MqdY2ctn76SllXlPvBuLElWSGs/rdVd6P47O6y9t+/3zy5qguTQv+zW3WIRd+suSUYow
U3p0AznQQtmf4UB/mBzjE7Tq+xVPmH35mrlFyLUQEid8YK53fsDFb//M7MNv5+XzipkLAeP91l3W
TNI6qw0Y2udRQUzqUMNzkHJ0TFd3v2+/1u4nKBzXFmwlXCz70kndFVY42+xcHnZssMj7Y7J/froP
7cfa/c6bwA7teOVgWVu/Zc+jAneanMzrNzo/po24RajUqzfhfbT37WTb2isTe5o1P4tV8iKKHFWo
LWB9mAcZOin/qDZE7KTn1/x/eTYv3H+JpFYFFCJDAGX23Ghodz4dqnnVHrqjsTamNV9ZBA3TiGsz
mzeaqX1p/V2EhEUho0GbHWGIW8MBLtKO5xO4CB6xKcgaPLB/TWDygHyWa2yQ5nU+RW7kklUeCcSi
/XttlIt0+rnhRTzpgxSJpxLDyot8qD/n9+VB+eE/UgVGDaX4Pr5mh+hBedReVzxmbXoXASZohkjP
Z49R8BkIsfDPbsctz/Ftwym8zAtc0zEdfSVInyVblg60iDSjnB2Tet4Y4MI20U5yX1OHxKpvF0xv
vpHt1XP8UgAAp0Vv5UxiQHvdacSuj2aaibPLlh4SmOwPxbW4OaiOdZM6KCs/1Y8IjWyrrXpr7Vdm
+VJcfW97McvQ/I0JuBXuKm7v6Z+TTbjpN6N73NR7ebeWM7u0pMA8wJLQ6wBWcfEgiNEPiceqqO0K
UR5RghQF1lB1/NVmlRtPT9eHtgwEc+GMPiYZYCS9l2BJT2dVbyLZDxN1cgSlUTbQViJ2IVUR0rfj
tBLC1cXhhCkabsBf0hpuGtCVnppKTFkf5A5BUx/yoJvcyjLatJRkJYYuZ2+2ogIs4jUwk5gs8yqq
NKLHVMNC2UCW8gAXuHGouqR2xFFOH+IiTT/RYS49fngWyeDwrOLSDjZNn/3n3W0ih7+qqgsktNEB
Lzzo8ompapM+oSKUrPniHMLen/EMkDcciRv6IzW64hf7AJHEarIMYXSMrMssB0qy+hOcvFBbVlqu
HF8TqWvg4U+NorcBHNSCDWV1+pjEo/9Za7Imh9ep67p9meryEyDfEunHKipMuxCRs7w+L2eXb6Bw
QJbAIIAytxQgRacTo6JtljWGgba41HVIwQlJMBINkRII3aHWfRpYdK0b4g3C8933CkDYz6C2AtOV
AG1Nm7hQ9DXioeX9cv5ICv4B6ggGfuQlTz+SAHdmJErF4KB8dUT/QZFtNMLSr+AxNIhki848jIXM
sRt1w0rUPN9sCotG1wD5YDL0bxXmd24Cwb7QjzTtOlVjfivB1H5q4IR8gAh9rXnngqW5wVkHHUlW
AYj16SCDelYituQJluNYB+FKC7qbjzEk7sCHfl1f5PN9TQqTnBdsTrTQikukZGCIQ5rDMOoYMBR6
TTWgu1kGK2/Us0cOywbZhUKnDLg+joB5xO/mLqA4ocRT2zm+EPr2gNC7HaeBYuNQ6SFqp9wzEj/x
ZDFW7wBZJr+0dJRWItj51uMzAIeem8hB/y8zbePU9UFesrtMJDZ0L8h94UU9irRqWA0UhXtUJWDY
+/DsznGMvmsQ2BKZ+tNxp1qYKnniw39U5xATjupxk6aGsvu4FXrO5mIBUFAITE6tBH1HbWqMO9j3
kFmHoBLxh3wUPzx/qqgwEInM2gxPWmy946gcjQa8rhP1RXaXqLXkRgKkgD2k7m7aDv7mo6OaobQ0
ulABwXPUhc/Io1gnk9wg2zNFwSHOhWnvI5W38kg4DyimrEGlwaAouZ31gkDGQklvNGvHEKLMFUVo
CRO0c3aiqQmemWo9hP1D3e19of4XUv6/fg7/HfzKH/8K+/X//g9//5nDwTmj+Rd//d+76GfF2v9u
/mf+sf/3bac/9L8P3a+qaatff7v7XtR/27TZn9+bKM+WP3PyK7D0r0/ifm++n/zFy5qoGZ/aX9X4
/Ktuk+bNHJ95/s7/3y/+7dfbb3kdi1///PvPvM2a+bcFfKy//+tL+z//+fcZUPtf73/9v752/z3l
x7yf7fc/82r5A7++180//y4Y2j8kmplnDOjsdm8Hc//r7UuW/I+5DkG7hkLui13Nxsryqgn/+Xfp
H6TdFHhxScvCfTFvc/bW/BVB+wcVhfnoAL3H2fH3//u5Tpbq30v3t6xNH/MIFVl+66nfkLWBBIVP
BdBbNrnWLiOaMORteJQnAXXTfNMax1cF6cAq/Z1p6g5Q4j7Ptm3yHZnQxLg1DVh3OQqbId+XQruF
X3cbQmckDuPK/eI0xs2figYqLoNgcmFfoBX1NBIk+eCbJXLoKBYgrdsNtDdBoW15dai0XqTD0fpu
uf41Le+n4a1b79/3GQzCNwXU/a/k7QxrPTXok9nv5ouwh5QBl5VSR5nsHnUn3QdRfSwUWOFV7lM9
kjhsZJHNZsNzK7zUJONFV/KhqILatEzu22lEwyMNfFGzEferY7sXa+EJHpHmj/I4QCieHWPzCA07
x79dDqr8pYAGHHEsRLD/IO5pUDAaQ7D1kWUv3M40+/glQ6Za8lJZmyo7hjja38wj0b06aWuYvgVV
C7c6WheJXSBXZR6Ucl7NJM6Ona0Re579GjolJx/hFS0GqdNQbDCDLZIgseZCHJComwR9o02YBhDs
59x3DiUtFP02ItMMmXabxX8EWkrnjayGkg7nYBYjd9v17ddS1eG5j+sy3BR+3CFHJ8kJ4lOFASkg
wtM0caEihiSGbvkN7LvB3K4TSukkOjEMNc0GNQUdun1/nH6aPiy6NjKQpXU4BoVWQFoC/Bs9dbj5
3Czox4cagWDkPwiqPDPREgpnRtdch2jfSBuoma2eO1OICgSKEkgAQO+aaJ/aqURnHvZrHTr2MiM9
mfRSswvEIr6XBLlb48SZ3xALZ5r5mrjzgGJHznVxWgptHCVDOiqeGin1XhcT615PShG5HEGC09FP
hmKPaBYN8klCddARO8LcmkeffQaQ2XNFbo4QFFkXp1wt0wSWADn28sooR0SYmjpxps6U48Nk8GxG
4qdPNdsfxBIJCFpQ6pVjb5G1Au4t038jzfB8UZ4rWItPMNWjADMQVas+6hWgEGX9GId1744tIpNt
12Z7KwmyjS9FljP5kXkr9ACgDT/NnCkJAzfsmo9VfvlIHPpg5Lk1cVLOLD+nuxx6+CIagbi6oeQn
d5ZatQ8UdapP14PJ6VX0X1ao0NA6D9aG0vaplWAI5DhG7c2VYVm4GaMs8RJ/UrzrVhZ30dkMbQW4
GZxd4BDAWp+aKWNkWnJY6t0CZv5HqzO157Zq1F+SGrgUD9V7a7S+EJpVt1CD2mnKY7gSpRdnx9kn
WAzUREBwioej5PaD9NtQYVrMa+6laG1BhVIadOr7FNlL1EivD32xv87sLm5U/hjnahSlktuFbX+Y
Cl04xKX6rQzLNrCbAom8Ig5GZNn0iASmmI+P1+0vTqc3+9Cy0aAyt9Sx0U9nXsiEGEFSQXRx6mDj
o0vlhKHWPkIPlByMUdF/XLe3eMD+tdT0Klm059PBzOl4ajDKhdSXJ110ZZpHPFTcDbcWC/kTKkui
I8NSDWriaD11hdDdT/Di/4LNxHiBwXNoVsLKuW/P7x5umQCJuNIsH485YkjlSF+c6/OSRwJElp/V
cjyu5INO0ydv42WH8rqhJxJGnSX4pTdzCWhah5gdgPRXNKSnfXYcjFctnCx7zPFwOwgTfwW7dT42
GtHnVxU0EzxBlk/IFqnRI+ViydWQ5AQh1x69qYvWysSzc747HHAeMibMEKxLYAngTDtdSxQOtJHl
FF3VqMPNgILJNu+IiLC/J1+v+825n8LjYUH8MhPbyJzwp6YmpB3m1jTRnZCZu4MxKP8swMqFEoig
gs4I4g9xPMzLRssgzei0UJvQSSxza8IwQCPRmaKboyay1TqBvrpjH6OunIYrphapbo2wTNCjzV6l
k5qLtbo4XUJDryDcDnSvKVE48AIp05HyKLT8hzL6SEDmunxEo8YsUXfpY7XfIaCQZ+4YlMV4S1pK
bLwmKIdHlL391jsWjYiYVwRyzw56RGNWXmeLRefTcrPWgRuZdODOzGWnK9EGDZRyqFB5UQIlv4Kk
unts4mGDBFGwskPfMrPvHOwvWyb5JRAbPBGWhXTkrKc2O46yBxuL+K2fBiCFPVAS1Adbq3JgAzJl
NH1CGF0i5IQC5xiY6kEy4n50eJZTiambI5JEejRZ39OYw2WjHn2zcdJBUV/rOkFxSc9r2P4mQ/Nn
rlEkIVZOlgvzxbVJBdw145h4C5zO1xEZMgnxXeQtRsW8hWbaPExyNd6gKdU+X98ki1gzTxfRjLs9
QCJSVMsOr6wM6yO6z1zW6EjZTpI6PWmTX3OxpB/GozKFUF8ZtysR7q1mt1gluqPocRap/c8kGKcj
RHVQxBVTxUuzqH6Oy9JH47KqhI2EnvhEAktCQQdKhmHfHAfEBJtUlkqEhsIG/W2lznQI6ivJsJUZ
Uhbp8ZRvkT2MtlqVpq3T1SCFDlIvJ9rNECDusiWxA3GN2XRmYsNcavbu9WlcBM+3adRnQl0igAHv
8sLDM7Pp617klSJXQXNntYXlGsMUrlhZnPx/WYHYQIeEjGfzMnfjF2mPtq0pQX2eJbd61+p/5nqs
B17UmOFB8dNyc9T66TZrVeu15WBaOSIu2AfxiVLEG1DqjO0ZTAwqdrCeeXmQ3VaVclPI6iE0yvtS
j36lLaIdmWl8VpXi5/XZXUTyedx0SMP/RLrGMOEDOPWWMhPkKOtFzUsLpfOOU1XvxSLpHb0rI68R
EG25bu98nLC7gW8lx0CW37IW3pmqpW4FQg5/49BWtxYFkhc1DbP9kWc0FOlINnqWIAtb1UJ4BPlm
PVyJYssrDyPm6c/egByBqxZZrdMR+1GEnhRAJy8Ne//FMFKzcujmaHSeuA1d77kEpH9f6ghUIban
K7GDhHBr2brSZZ+QkNV65/qUnDv4nDLE5cgCMDlLyr0q5BYuVIrq8VVkN8vstzKZyYqRt2H9OyzM
DDUYgHlrlmMASblknTA0oUH1xhI9xOd9pMOBqv4s6lAaQHllhopi8dQ+RpkEZVzS0MPv1oC7ZbRH
svC3PhTJV5gE8sQ22mGCQzLVLJ7zolHfhNYU1RsljjKZFE4uUdQPp+SP+nicUuQyTFRng5wksh0Z
kiBsrk/dW0P9YlQzaSAUv9AXQZGzcCeLto8ii1TZ65J0UwcyF9lYRyCtTfWf0zANaMxJifAtGgej
glcL8YkmjwcL2eZo8OqpkB01yrQn1RSOn65/tNODhvmmlktNCLoKPpx6RophCSw2KjeGaxpR6XYA
PAZbJoXzZAaS9vmDtgC1QbM84x5JulEePHXptu3LGsid4RqczG4FkZrbNlPpIAG5lq8/G9b8WKBq
O9ch4XJYIkasUG3GaUTZlnyScnscesMjc9NtNSMxVh5Di3c+UzjbIoMJ/ACqAzDZp8NCAsIUYcA2
XTEr7ic+FQGJCkmbSsZPSyHhZSrkkPJuajdia8mHUI+PtlUi9aO0MWrm6JuvvA/PR8/1nUOdk3V+
NS2pueSmyhSpNhi9oCKoJTUaCb1e35sVQucfXdNTU3MgfVcQMtRKlDPEmdwozCukpdvMQVGHQNmg
qXfd1OlFZZ5nEpQQjMLfQl8NJZJTU7IZpxbM47o7QVj92InV+DlHmuR5GkbzCVy39H+4+7bmOHF2
61/EWxwkBLdAd/scx3EcJzeUkzgIJEBIgAS/fi8ys/eO2/7clX35XUyqpmYqakCHR886FUJ20YkD
7/XS3UbFiYuZC+AHx8/LUSGeXHgKyikqZ8s+Cb9BqJkjzTnyI8OzCobruWIb8YMv/S6uDb/Cnt7f
Ik1P/wQCHdJsTul8h3zY8O8/Mq41wBa3NjHENkerae1mMPfFyAqbODCwB0SAIcXW7nVd+rv33/wb
8wmteLz4aCN9IP7v5TuAL25PLIy2inbt/bOoQtwVOPjixu+Z/Pz+UC9Pmd8fGUNt/f7tnEHz6OVQ
KyKy+s0rpWhNzHIqsSP71XJqe3jZuPl3FDSPtoIXeNHxKIgA0YrACQChSUw2iFUK6FdEOneXoNFT
pFyF6fQh7rv1MpmRZ/H+Ex6d7P8MDt0HXiY4CpANHD0igm1XwquJFWscTRfopMM8XwzkQ9yWqpAt
Tw8VbEwf0NaQ+5YN8hyVf/1UMaiVTizel1XOv78kBNCAWxm6acfYh98hZSh1HRLvxCKvwewXPwyY
CDetS8xZ1PnLnvWh+sysP90rM3V/p9bYvjKS9LCmsOf/PvJffmvorvxmFF5cpMgSvGw9P3qAh2CJ
yOLxHpX/tEfiL398/+2/+cgUvA0AkfDuOD6J4y5evMS1CPLu5ZoLRBMXPS6/5wiX9r7jeF0uVxK0
D9Ys7tC0sbt/f/i3VhJaR6DH47q1Tb+Xjzwh06dJ3cCKMgmGPU+i6da1orwew3D6+f5Qx+Taf17v
H2Mdbc2+6i0i01dWzLTVGa7g9KJH0OCh8qbhcom5PmOCRejGr/NHipivG79y4msX9fH1JJZTzLG3
n3xb23DGYsAFXj75ghwnCP8w1/xlsAVsAjws7P4XiqG/5Hf8+9z/O9LxxuhVXSdgllx0EpmbJRpt
uw46bMA1/lCceMfb3/WisNumMJQ///1UR7c+6QflLKVhRaBi+wFBldXOLW34gRP458dDs0t0n+Zy
YKXMTR3N19ravYTi48QPefPtbjcG9CbR1z+O8ZrQqCQ4DhhiERcEHNJyzUMLKpkL6uT/MNRm1oZC
bmsBs6NpxUuzBNJg+4q4IwepR7oPBxfBOb0Jz95/vS9vff/sT3izsD/ayEvALV7OmVSqxIsdilML
klVGkBz6LfX1dAldVLtfazaeoLeQN74mpg82RAL3VDAxXo5XLQg4raceX3MIWD4Blcr7MDzFVHhr
CwJXB5sAencUBfHLUVhL2nAIMMq6BuZisKt3E3H06jxfw9GsExVChurouiVRdxNZe8oz+o0yalM7
/s/wR1PWRYYxOJpi06fo20vDk70UcXvgloJXjXo5R6OoObz/Jd98sxRdWMir0HM9bmjTuYJWDMsA
X5I0hSSdPF9QvZwY5a1VsFFaUPai8EfH9+WbRRptqwjDozXSTw5J5+jBryY4aJX0xMn55uaKNYUG
wWY59UoEi1xQEwvccwqRSswQmECTi7ge3RkSAouuRAiEC+d+v5KzUUzqcaBsfQKY7i87hX7uiZLi
zXXC4A6Jh94Us9t7+aMIV0SzURu83WbGHdO3ergmsG2+Nk00FJMdp/P/w9f8Y7yjG4/PF7j9VhhP
8BTRlGNFshDjnXjHb80ZtAbBZ4OfIlSu23//46nKdvb6yMfeaqBEuQt0UxWe5f7/4Vn+HOXo3Y2d
bQOkXmPNxys/TFXP9kat9e79N/bWmkehHm1gNPi9r2o+h+5l52HN13LQFwurai8TiGT+Oi+Az7I+
qsFUL3FnzpgeguAgQ0Tqvv8Ttgc5OqoAthAQBPHlsHUflR4ybaJybrukcLaaLieOEGQ4yYq8A4r+
8P5Qb2wx8PsDnwf8TvTfj7H32C+RA+z1GCqsuq+z1C5DaFVuTK++aRxhYByXp2Kc3pgtGBMGgJCl
bpfD7Tf9MVuMQzqbXDBmVQ9rwZsmuABx9xR49eYoIP1Cxo9y+dWJxOZ4XWGrmRST6boiCftfsET7
S/L0VsAA6ITdK46iDbs62sakiaYlDvCl6qhlJc6FROzgm8a+rmwKP6C/LD7aJjilknrz0dB6S/Dy
oo3d//IFohKPYj5j1AG9iWv0W8ml4CeR3O10OZ6FlPq4TKNKwc36aOsw4VpPsHzF1mGdOIiJ6S8Q
T/T7hLfrlfLG8b5Zo/UwQBCTez6Ev0KFy7kJpaDIPhpOtaTenKngkoJ95m97zNGrngPp95ThEo3m
brpktu7cPrLhcJBqGbF1txbhkBEIPu8vkDe2gxR42P8Mu72lPyYrrznzUDSxgi4WuaVqLp9XTzH4
0aagYFYQOmQs0mlmEwoKvUvqE+O/0bPCFEN7aPOmSzfm3csfUBtXjbIHw1t3TjzggJvaPNB0BJM3
Mewpman9uZoYPtDV6Af3fdiRJ08CRs3Gdm37nVpp5aPFxYDGvP9qjsVD/8x+dDbQ4oHrA7DUlz9t
jEceOZjOFqhfQRyZYl9k4Si9G9yWk5saVn2PbiKHxowyb8Jy3Q10gp5oipf71RLybHT5lYGFnHtN
Tc4HRA/v4XfefKjj2tbwIi3nEy2itxYOIDrgEti6NorCyx+8IK8oaQlNCrBdojyuGD/3y/JUhslb
MxV5MAiWxsxJIPx5OQoCPQcgng2+mJyjTCE+3WUpK+0+iCp3SLslrPIK3Fp6orZ4fWxs+Zdbgxht
W9Ru29P/MVW7rmoaluIWkQSqyjnIPTvNuNyDxX5KXbidQC/3BgwF4QZydWAwgP7ly6FsozyEpgDL
8aEEuDV2CkTW2BnJVhwclHYnIr+5mkaftd+YmN0pxli0Lfbj8UEm2gQJCXQ4x9cNq6albWHRVIip
nKDhqgfxLLwJNRTYhuSmkWFaZfXkx1cIO3LrLh7tJ8+HjX9mIoSbZ6Tja7xL/alNCqLXxmah1zKX
mRik4rykY1Md4IpBnhBigkR5t5bluMcJGd4kSyWaLGS1tjsw+fUdSvPw49aYfDIVItHzYJV9v4d3
DULS+3ZwH7qxMf3u/aX3eiITHxRt4F3oTEG3c3RFT4Eyh12D65agtd2ZnjV3Gl3Ov+5bYpSNl4G1
gkPruA5RE7w5qlSg94aUkSLp1nRP1/lZhK07wZF4az7BUBz7G9BDTOCj+ZSAZpiaCSOBs6rOGQIH
P/vTGiFKXKPJ57lp+BVCUG89Gp3CBN58lTCAQozTJkX63VX+Y9WEoyBtS9E1xqUu2MJblNnhXK0P
kb+wxxIuJQcWKzjuJszs5xpHoQZWfYlNLdg18ExpPFF+pKq0H9//xG/cW7brLW4JG3NrU7e9XGOj
oTjj5IwG1GJoBNjJhJ9i0EHvgQORG0cV0m1WEcgfSxXBSAgSGZAn1wSLMHfOq4a8jaflr/uA+E0Q
r+AqjGbKP5aPf7ysGtllsP5eWIFZ2d/IZkQA+zSvPwMCryQ3bKa+A1K9TsyOtzY2uCX9pkQi5e2Y
Yq1DjkWI2MAC9k8wmg1pt8c96mfggpN62G1vfrGxwOAeCr8t5npzeCBHe7cuA5Om6HQWg5/IiwR8
5UxFrrrDdjNd1UndTJmHSLNvcjTtfmrodOi7hKAXPDR34dqqH8lA+E/lQv829tzQZ9KQunh/Zrwq
SbbfiIkBOhTWSnDcnyuryuMKBLpioNLdTlR7P0pdlk9GxOuIzKya+wcVc/drwk97XMLVHN7/Aa+W
zNEPOCrFtO0STknnFdMkQTfn6ed15qe6kK+2hG0QXMBQWCNHGnyNl9O/GRltRpwzBTTKV4DyLoSM
utx50ZWm8+VI6B01+kR98ObXBwsWdy70lYCyvhzTDkRxGLl7RRKjyswgUoYauIs1brPDoe4q7/H9
F3lEjEXbbHvIJNmqbNzCyLGXDfXAYGQeg+jan8qigudcgdABOL8tDdG/3NwO37s+pSD3QdK6IDT4
Om5PXd5fra7tN6Bg2PgaiCI4vsM4zDNeUfgD1WDJZhwbHhBQn95MalKf3n/eNyfOH0Md1V/AOCsQ
ZjBxus6Ri4bxu7UNTpltv/UR4WcV45/fBL+jQRZGZld5jVeEoeTlrlvVmmTJkPiHsjX+Fwem+6/3
HwvQ8RvbBnj0iOCAn330ijRng3YBiX2udjwak8tq4/3klevXadcw5fu4H+F86JmiH5CF7qBUpqMD
mb620sdPC+MGx4undSboENNDN6k6gpTAl19ACOBfAFHd9mWUTplCe5zsuOGaZlxEXZenJbITM7Ts
lnpX1j155NOU8oOLegboGgk4t4NfRgQJJIH9SOjsf5giLeqs8RGGmwtc8OANYTwpigEe7HEGYAGM
0qmNQNtQsF/ys1bP0U/w0d2vDvzkq3QVJt0JppsvbqSdzjrgYOhEupV8itTSP2iQBPA8ahkeqGD+
dTkz12WDTLs0gyk5/uwQpLDkS8cQkdaBEvxjHV3IMxqP3phBKRHXkAL0xF0wmO6O2VjqhedBb5VD
u7Aez9JWwnGHrUmLW0KspurKoyHEi6Wvh+9pnFRVEQ+rfw4wf/riQCNtdqOK6qiIVdLzj54NTd4m
jUjuRbRoMe8GO2i4RsAibZ5zmnhn/lClQKm7SQdrodZWs/BzgG46SkeG52uHIgGgOtictqr8XFcR
msB14vf3Aa/gs3aYGJKhAJ1YxOF1Ed/C0crWyl3ARRrlCE0TcUHjKdBZJTl6yd7gs6fRcfFNz4AH
8sZPB5lHkiAEmZUJRV0yCTtmLXW4Ga0BZMp5wGr3PEM//lEBsnvmFlrBzI9bXyKAsqpMkYDjvT6Y
pK3sPu4G+DqamAxztq4+dK3OoXVeqMCL61xPCQ62YTHzp8B0uOwGEtf9QhmESWahGFiYyUgjbpVB
xbNeoLqAmhRtQMkzlSxhWKQ8qrxdXQXgS4yr834tA+aAo3OACyip9C3uohptJcFKeK1gc/X2jSxH
TPVojm8SuiLJTU6+DnPeU5lphS53L2MD7Qf3lp9omLKmgKVTdQdRa+eygJfsdgbhCw4DvesG1EgR
mCkebcXj0lXYQGcdyg84gJOP4zKoT4BtEfSLSCOFhlDYBbeLGhrQR0On7TYr7Xw1lL2J95Z5iK0L
ALfOmfF7IzJ8uRhZC9T5X0Msts+4C892R0PcefO1ivV5rX1/zhraE13gBHHfAcnNT1Fq8BcBL4EK
y2vFGkGsNK+faFn5nwANhd8oOidwYJlFv2TLtOr7ThrqdmgzzQS8yTKOC4S2+VU2qWXFEm+S+nmM
yuWimdEMzIyskZ5KQjdeREHbXghPIeDRYF9Msp5ypwufexbMKjs0ABIr0GQH4CgV8u6Ju0O8N/u2
zoLeUsMQ5xw3CIPD+SJo0ZZJCAU06rhr4jWry2TH2A87pRAPQ5w5++eeF4drBvZU0xbJAjlH3gLx
WdE55KTPJj8yU7F0EXmGT+gqb2eYp8BqjDeePYv9JUgyiaoX0Uih6+tzrkX3dUC42tegrKIH4/Gl
yvxBzwLZSTT9lsBZss+WsFS43KlKurxtLTw6R2QDjDl6MTCe7EeKUwvpOQfbRPY+diI8M5QjxAQW
cWum1otJyPq7W0C3yQIhm0dO/XrJuBIaGzCl+ns7V+q+Apk4yMckHh+DUcbBWUzZwraNYYpzMQn+
2a/i+HPYTMLsSdI4Uyy2bt1X9BUiV8yOULFbah5+dHU5uwMWRYlfXUf+9KPWgwzzdgHnNGub2rDL
ulq88bxE2kK0lxp39ywwDnBgakqYDoRLiagK5YHCsVsqKeo9JCS9zP3R+RcxznGZxWgweujMCf+b
ImKdzhbSt0E2I2CjRhMAdWAGlwB/KZghiyzcpPogi+sQPPMOEdhxlqiRfZudqR4IrUCNWWHKVeZq
niDCWZzvmUI0sfTPe06qKlcIZqZIK2X2kDSImshBmBfTWSDj6CH05qk8qD7W7blh8wRXExBC0gzU
ihJ/2qpi+8kv2/oyRH79gXPj/wr1JrkizhfTlaSt1VnSoObIJ0Ns+VmMnuluI/gm9odRruOM+VLF
+K9Q4TWZmgFtFDIR9nFC4iESTmkt0jyIBhOcdQoCos8RZILtz1E01hYKcbkdMmWNugym1B6quI4/
+0O6PhJXgbuNHZSsWR2V9Zc40tA8NpBY+zdihLhjJ0jXNd9LD6dOFoQQnAKzTQEd+RM8HXUULH4m
VjWlOWPce5o9k7a4qeLyVkjRaFesIa+/gRHlbta2seIOU9v2MAxRwVkT1N4PDePX6Tyayv7JRzdZ
5NBirl02xmWFvSNF8EsEwb7EIdB33hhsMTOW7C0oEHQHmhrwVrCxR7GjS7x8qdsxePCislR5VQvs
Ex7qkKekTiskSwkdZh3iZpEeR0ZyX8Wl9zgYMuNSEzlUTJ6ZoxlGIE0z5o0W/EvUsaDKe2G6zy2I
FmEx9HPwyxvm8dlG6/IVilKLhQcv4EtWasT7qW5hc5auhGF1eb66XDV6bfuu7JfqIFktzyk18ZI5
RJPc4qopv4WMhzeadqErlqXvx8+RburrsVsjXaT9OtwY/F9lBvhKxTs/5OI7jwL4aNZN19J8WeYV
gs2kmZ/DwOKwrvwyvmqUr75NMGjyMucHYtzNywiJZtI7ejl2qRnP63odxgNRwkvyQHYhkPgJjM6c
zBz7Z7quVO8hTSAfCe/cpxKhy/rAVJ2om3klFsZdFo0ilHFTytB3xbzOQJLvB5ykIP5msCDteLFA
VFPmMcJXn8TYIeULZvqeyWe8l2uP9SCNsh6qWohxZT/nQ+MuylDb3EbtczRzV+dqIN61jHgjihWN
bWpj6D9rTCGcNrhlzwc+9uJSJmpI9n5qm6891uOYz5Mn66LTalpzORLvMTEBFiEduXnSy+JoPuOO
Q3exp5KLro/6MdMechhRw3XsqXPJwY9gbljN+L0ZQvLCQ9Nr33xvHav8Xd3KsM5J0pbo7DoE6RUK
XTqEzw6mrHH4s/Uiamzvw3rHs5fIceM3YNfAvcofGbmTtYDtKl37HP7PeOpWNCiPyRDiKLGhktBM
zT2O775c+xEsQfh/QPipumEX9ZW7TJrELw+NB2h1x2wVTBl2fieKACGhu6GF10Qe83r4SVo3/Ur8
ARVRV8XtdQoxAs0qPYOoLJcm9iEcSbw2n+tUR7kOVw2LDAeJalYiCLrPgoFWUw4xm1A5Kl9sZyng
TSiAKe1gBtrg1WTQeoWn+nqv72LQwTIEwYE+iUb1cc+HudTq2cm0IKEcc+s30x0WBerGbhlOoKmv
79cvh9q6DH+0cjxvHIa+GdLCdB4/4yIwn7xKBvsO1e5BLuA8r2q4J6jjvrx/W3p9CcTACWQRcPpO
oRM4utjHLdEWEFaKAliHOykEwlShmt+9P8qbbxLMRICaoPzAU/zl461+JxLZNGkBsUf7pYXLBhzV
IEY54AJ9knD/9mC49+EyjwzQ444/Yp0g0K01Plvj+kL3wDtQIt2lCwr89x/r9UUTLw+ZVv890tHL
61vNQSTFV0Nv251xVvZnyeJW8IgYSHiVsoh5Fvz+/UFf36ghid6AQMjB0Pz73an8Y6rQyZZcySkt
Fuh4iiVEVHHt33B1FZTlKTXF6+YWxoKaAB3ZIIYe8OgBdVf1o2FtWpRDSJ5taqgtIjqST70b/ULO
dXfPu0g+htMaHFxPw4f3n/WNFwwNOqws8Cs2T6ztU//xrB7yb6GowgvuytJcBolcrplh8qNEnYCb
19RIrBB6Kjv91KjbF/hjVFGO1SwXTKA5Tfs9hVjoVzhU1X4w6Vxgv1BX3mL+Mkp2a3aD5ACfF5h9
UOgdjholg1jX2PGwxKyt2SXxu/gqCKpT/ltv7DO4csDkGwIyAEXH/mIWrcJkDeeykGmwZCnHlptz
AvZ1bdd420Tb6tCKZYs8wOX+7P2v+Ro93Z4RHsQUMwnhqMcpEgJ2Wk72FLEFadjcmA0yzeduHO7j
yFyFQxvknRzUOdL02Cc2iPQJcKu/j8HLv4BDTXROhkSe2JneeiGAbWCYAmU/tqejjVfVtNadHsqi
0WmCnb0XZw6xnQ+lDsYyJ2FPr4cutm3RhSht3n8fv4G5l/1tSNFwsuDPrY1/zA9vNfjUCHr0CqjC
OER6GF1lpe7V5YI+blbGSwQH/bIBVhmJDwkb7S1dk6Fwsi4/wTnRO/cMW8/SqWJ37ZpSQEN1ednp
mWZ0nqNDD+ubQ9OQMLedX+OSOkE+stoka4RZ+0wNn99/oDc6qFB4w1YgQfMU9jDHBhYwBVttOfpl
sSlnDkE8kXMSrEGuFKHXMayGchmUzQ0aOJzkDuLJGzPF/G/ZiJBbweB6Awxg3gas5uXytXGJS2WI
vjHC6tjDICFrZFH9b1bJv5ZBt/98piO3oqN//f/evOi3YcD/273o9llPf1oX/f7f//UuipP/bLoe
SN8wGcAu2kDjf72LkuA/QI0gk0fNARL9b9rdv95Fnv8f+MtBavY7Axhdf/D8/9e+KEj+E+Hog98Q
dK8A9EGB+AsHo9eVjw9MAZwyCDNR2x0LTzl6P14Fctxu8NHQUT1dD7junfIGeL2/YBQgqUDKQH1K
j2kAWtmwh1Kp2sET885rkoNK6yeoJ65Jz1PoB+ZbL+pPdMBfn19YehDVs22zRVrj0Z7WJarrNDde
YcsFl1Kv9O6qZCqvcJF9ctgXrl0Xhn9LdwBuAZYDvjYE0QG206NFN4pqQYKoVyiv/hKkfLyQploz
CL/k/v1N5q03CvNBGEhu2asQ8rwcKehpzdDx9IrFGfvQdz4WeuXLG1vNQbZ0ZXAW+XbcLy24su+P
jKn3Eo7EeEghCAFJwgcUTogvR0bka0QFCYfd3CQzzArIGHxqe7C2ClGivXHijb6an1g7AHURLQ+B
KFhWR89JzaArExC9g7KI5qo28x7KOH7iTH5zlE2giixUYGz+0WY5LmyRson1bpKuvIbXMS88Hqrd
+2/ueBRcoeBryjYJNMLecfa/fHNRpyIgr5D0QX69wHIm9PbIHOpOvLHj77ONkmCtQeMdQmt9zMNQ
ASqZTlZmB3UkGrxtYD/16NxeqCEoD3/9QKAvb3go+O6gZW+T9M8SEUUw9UAr2S1LGsOcKgIm0M7s
RIHwxmsDsA+mNN4brNaOnZA0UqempAYFQlkw/zx/GjO7rNXffxzwo+DUuxkNbvX+y2eRGiZZoRoM
2mRJnJm2QWd5Sk5dpo+fBRsD9npsgZuIZbM4ejnKQhsytLpxu2FIm7OmhJ3YoRy94VRux7Ys/qyp
cN8DMrRtDsAboc09gsPxEfQ8pYO/Y75xu9Z35iz0fPG1Igk6Ignah7fvT4VXurRNjwBOIBTsmLPg
3x1V7rztu2meEzRjTAOKAehmxRR4AnWr31yQWD1VpE0PK1widgun5jIksr5Cv2Q5sTFC8L2toz8f
HqQMzBecjrgubR5/Ry/ZELbODOj0zlZwO91MN+dNFw3jrnPVtEoJWNQEaVSQGkXh3gqdtg+lkhVw
mXKqloMnbfW8+AR2RKEcnLkenLXrIw2x1932OEvbC8CTHOBN1Gps75O1rM4bG+o7dA2augh1jNie
tierPpONVbcmEHbed1bpK7+fW5M5yF/Q0wuVuIcegbRnPIa4+VBX41TnbqkTXszw9kXS2ziBzOgr
dKd3A+4pQWGsBfpU6mbdzSOc9x6rYDBOAXVEJxuuGETcWYo746UR6E6BD2LR7GZjO+cor60u+AKf
15tArL3wLsNIjMkVIwtAFnA4pit4z6xeBmA0GXJD/f4z7BRqk9e+Ubu0ozB7aXA1u2y6RTeFADhx
b2uWwKavrJarcox89bNLYG6aJdO2ZGNRM5S7Myjd+ToFvdlTCceQrJdw5IATYuyFO4T1sC+GaaIA
j4862aG75YOoFvAoySgx9FYQGfc50x65JDjpkixaJ9EUPu7g+94zvMq7Cq31okVofJdFdUgn5NR5
PS26IFzdLjSO3fkt60BFcdvf4guX6J2H5/7lrTrlhQ+FPMtmU5ofDSDSFdZ5fKp21HfVNw7+zR2i
C6JvoNkwgDXNMs+ZQw4ekkCI9e3BFyHcCOsmsO6jUcp+NYDbf62kw8k8kepxGoh+qn0fUXVtbUuo
5vpqMrkpXfxImiWpsqFMCc8VMewq1kiCAvcv8T6g+aF+iFlF/KzBTWNFLLheZN6juzns4JJmLirN
gTKNYIP1WdljWiMkncOpYOlrtFRD9Oc9MAJv9BDrB9OBcXYAuFnNWQe3aD93TZkeZvBLoswPFWCh
EicFzZSbawE1P28PnmjYt7Gq1aPXLvEXGykn21uA8k3Sf0xhZ7VeT2kA7+PdyMLuUJe1DXKATekd
Phk8biJqvXonUBbZrEtd+hBDz2J36DlvbWPrwuYy8cZZHhCzvnZ7ocUUZ3AjGbo8BPEA+Dmo8gms
0Cj7ABsdAoaxJlA/kAUcoquKV01wPWu008uvIln1h6pCJA2+TRX/XEOp7tXoKAiWAPOBqaXWeVkH
uPmbZyf4unYqYB+XvsGVFkBBjZyG2XafuO0HmQF0Uh/6HjnLmRoDIJ4hr7omDwI+37OpietMJ016
L7iV9NxFk7jhuiVwNobwaoBGrwMLPrIJ+eqt8wCrr9EF/mXqcdfknkYI/a70xibOpxUc/oJ3nF6H
bRs8sxrMkGIirLywCJCXecrZsuxpoEcvt/CmiHMPfjumuh4aJITnSQ2/oiwoA2b3YZ+UhVeHNWw8
YCQls5F7HKbpNY0umcB+tTNg6Q67FCAkQF4vWWjW+uji5hMwnF+WgCmeL9hkmp3f0XS+4JTNV/Os
h+UCzOIek9J6EGP0gPh+LmkCJsEu0DB+okrx7z2OsiXrYCTjAHw5+jyRuX2INDHVQU8h+bokhH8T
wDgf1mCMvsoVQtZDWSka5EvVxk2hQA/+JNM5APrdwHPdX00fHJKlQW3h1zDUBJpUeTRbgPJ/lTZa
vttl6O8SLpqmAKY3DllvHaCeiq/IkRrMLAla9GF5D7eyOrzq4VA25wp0BzAECfN/9MQMw26qWiwe
iVVhs7KiAKIgxI9/4YImkVqj50GelQToOYDmig3naIRFZ7NkKHPmlg9fIN+EmyljtnX5okj/rOvJ
u1yFTJDjtqTBVwr44bHVwqV5gwpDZcKDHiGfqhoYcgNhK1DESBB+noBQeMBcZiSf08E9AccyQY6o
785kdJlmczmB/3mXoIv8K+0GRbAVowrIJa9Xr0CzTn2n2AN+eo3wYClAvPhjOACLyC0REQxX09Rr
shln0C6MQgMj2H7mtyC6AX8uHYM3ai/6BqqBOeLfp9F4G6JSpzXWBrw3djDcDPSuR1fhU4k5X2Vl
A4D1UGtZqWyK+qm9VMgH+yDmsKaHMYr7JF+4nOSu5Hr4FXDoVwtKqn7PRlaXmXD1EN5u5rofI6rs
jez89sfoZnXbID8NQLtakiWDXEY/oW2ja7BNGu/eunV5dHyCF+pQot+ataGKflY4g5Zz6S/w1mrK
FjQJtbQL3S9EBTrvIh+ubcEEzjN8UVeiM7ALmttZdsLP22YKPsKAA1SDGMa4wx4sZlj44k2ou97x
AWFQPoiFeYme3a90AEkI9MmedDkU38uVmaKZgYS99B/DcYYtaFimSF/gNl7oWUy4+pLUrreZ00Hr
sgEY+IPsu1DkKesRzMiXaPlFjI5oMXXABq9IB+b2mRdLUMUhkojSItZ+PcMwjInh0uDmcpdIjqW9
6JhdBA6OnBmDnu5DMALOy9qllR/TaKJx3o4yiq8HGTEvK6GUL3M3BvNlO6XeiO/CS9ABWo64sHHy
rzWkLSQbRGk+Y88RUYaDPb1pLEqv3Idq6XnwQwtRizbPcbSmGngVoggO8E6fPs0TROIZlyMX1yzl
ziCEpuyBmRnrQa7Vro+Tz1aVL2Qyd2VUkw9kcECJV6dxsiQcUs51xjnVxUHoYY0F+hswY38qYkdA
5Q3LkXyJwz78sfoAFuC1C48QJcLwod8MKvNV194H1S+xQVBCxJ8JSvgPKAP87yQSIXI38HfzLAox
HQpVEv97YEhwq+pxeEZtRwApVnT8DEqE7JDW5ptrOL8avRuTpFwLYMprmw0riT6iD+rde23QBudp
aNXVpNkq88ny+fvaJhZCydBikZloEeflMCZN4diIwk8kYAaMI/i7qImD6byrZuQS/Bd7Z7YbN7Kt
6Vdp9D0LnAegu4FOZqZmybIll+0bwrIszkEygmQw+PT9MZW1j70P9qlzLvqqGxvYLtlKiUNMa63v
/5ftZvVHAsx13YVV73+ymiWE8afAuB60tGuOT6FlVjx6AYv3/dZkdIccaNC7UCfVlZKF7dDpjfzG
Ll4qxitAVvyhiVjhUk5ZYX9Y/aR+wpiCi6wdv3lBQdiOuwUn4w+FHlbaL65eFu8KqVcfxqEqERB4
RmB2qJV6Hoc2vpN+Y4aLwRqw5Pdb5QxP05qBqVWtnU2XFueG8sCroskiFp5zuM9qBUGT4VtYcJDt
xXLw54Qq9FjEUB95rcp2H3R4MR9835qCg5xCDIgD0RU53vvSp9PaYmGUtxRq+Zx7UT+6y44GvG2R
1m4NbNolOswhekTwdYxH+2Fcu4QKmq44iBnMWzn6mdp6sW2K1AD6un2eZJs8NqPjtLtlcITa26E7
f4ja3MkOwBkc42aB1bPcWKeDzErcPESxFN3Rrlekv96A1yMRZw1yqJO5u4t92p/s0UDIHwOWVqwZ
5OsrDsrGYkfV0eqyuycUZeI+aV8HoJM1nXvff+3KfA3TYaAovOtijlEHFeoo2oWRNXc7f3Fr5+iP
3mRTz1KQNl5e9eZYD0P0kfPcZKfZIMrnmehgOHSnIkDXZngt5YsRO7HW4odUs4Q5tJNuXwURXtZB
2BU/Q72Ih7mT6ovtyeWZp9b+HMp+cNMcg6x+50dF/wJiIz/myaY6yoqCc3DZiORb15G02ykjVbAT
xkvuiX5sLKhxNin2uqxQR1Lmg6lw/aVV+8wbbRxHbbCMeTbtk40nBLUV6t2fszZuXpfMbcPd1OXD
FXQWi3DtjUFzlUOIsGw2mvsoWZvu3Elu5tRFHX3qh6JwcFoePHy4kWevqUfv4G+O9PW6b6Zl6FNf
ApftlNMkLwBc3pQmzewSO1TT8sz8QvxVWWJ5K1A9BRc1rjvfQ6/RceoRvbHE1nNTHodBV7RPiVpW
yprOiTtD757v/aTjeafXavq6DrH8EgGF1XCKrnnNF7sf0wLp651wavvG8lzzFFS99ncgTG53M2JP
HR3EnMevcT20156/rordyJ2+TYERAatant1aqm4echN4T37S64ciDCG6MJIcPhT5yAbnuRZ27Thr
qsvCD9o3LOUWuL1ZddkukN3yZ9ElmbcrBfQHzI8oYHFn5f2YGAlEIyWmRLvIdvPvZV5bD1bXzK+S
LrPWbpwEB9q5rXhhKq8wiRtLVCNCS/1kxBQ9zdU2M9vKKt5iwtVPizM1xbXCg6PgKK59Qhc6SpZ7
M3atC1PSbsitZcRj5dttdoiAWvJ0ybWu0lZ3yRWgp3ipYzP3rGvh4Gxgoql3tW1orOVAgM27WmTC
pIUViR/4ttRO6oYy5sQUjjZ03ZRzDoGtN9+ziIbOOyvOky+eVUrFxrka/yCDdiN9atfnJZZ9cm10
tCFTMDU3YSzmEqfHLP6hG3hcmEK6I6UV6s3roJeUcKPMdF+CRhfmpupRFu7YJSfc++YNZKKDEwMh
7EcB4gVI+9yvTfhYdbST4j6UrPed9KyvfaTVz2TwJg6DXT09sKMs/ZGFun0o8E//uoJgPUdeZ1rU
7kv5lslB0mZoEeMPbxzznxM2/YrHsIpxj8YDJiUJ9fAGdA+ROc9h1LF/hWyZ0vU/aYewJpWiyy+R
zjtFGkdm/kYKvvhzsv0G1FnmZNmVSAraT8Vj6LLqJFl5DCcV5bgPJ97tKHyyFiHHbSe1zIBYU1Eu
1ddj79BYJy7yiO2hDDgjJCIkZSHHzsc7ns3dHHB8KAjFum5jcU9crntidOWG65Ln3MjdE8WLtTVB
nDf0qqNDnQqYyCfqV54I4M3xef1cn8hg3E+ghPMTMdxt8HBEhPNob0CxZfWVSpsTZ9zUzqoY87nd
85s3Fnku6UabDidGOUA39y3bwGUfT31v5594ZoX5V7i3T5xz3rdzc+hO/PNEBMNlnbhorxroanRb
Jsq7CzeA2q8yLbyn0Rmy0H2OELKue7qdJnKi0+kSF/HTOlI1fSQHUdDFjBZJ1SHiX/+MNswb4AHi
G/nW8LLW/uLsEVWo/HYu1YZlnVjxcsPG7RNBvuBQWKSziUlt9ifKnEb2EOfhiT4XeQGJjhSw+hG6
FXw6zkKxSWlWA7deFoL/T+aNZ0/KBYqrA3K37I11djf03d4g+Eq14FBjuE1Ue4EoXOpCJuQFgedn
eMA3Fz/K17ESbHQubdIwqYTUlrv+xN8jh4fFX6JgErvG0XSYcasBtrANa/1h9IoPI8b8nLnbQn5o
8O+ud/kJ+G9jx0dtawGg2jhl5QwYssVpfpIKNAD0GIGaGgmBB0oorvKoCYcvToW3K0S/CCDu/daw
AiqqVwcTObypnSsbxC/b/rqydviuXdpHsiaapaUJrcojJszi6ratRDYD0MXtHF/BZc4Se+MTHxZP
xbIYtmzduLvM5PGbaNj10u4EnQ1VEV/rXifyaSlhW+8rHI3iPaKmhqymDfk6XmdrHExPskCWB8wL
pNju8WmOsOxJRn96FEuyZjf9EhXjbWHamUZsdhNNwX1CR3pFjNrPYZbtkt7vrc9yjFb16I290N9i
FYbNPbzMOGdH7WZedAHCjP+0sXPXvu6joJ8GKEUMhy1mQJFA+4WNWMvHHnKMQjOWlglNSDyHwHI0
SUIdasyKhQ3S8nt7aG+dfp1p5YC6MlvmvTskCs47nMeEzIarSGjBtk8mivM0sMkr/ABmT0APKDVJ
HpZdaOUdgVJ72MfJW8AMg9qSxTFpIrtjq2manxbeX3ezyJVwiLjQRv4o3MpfL8zUcVpcuqyr2RI8
kpFB6UdE3NyAIENTDqUZ7RTOrg6eWQOrKE8t2lyN9QUOKMUMENezgDo87zpoX2M9g4dg7SbIEI5B
1/5s53XTF5A7E8GNI6KkubHdoRrbncKUg/yZ4hn8KCPleCkGgKXjMqDLZbhd4nzQT8HcoX0ghUbe
/8MksFYlUYb9b5Z28Cees4u7iq5jO235ovzEZqXqz3TXCd0UlwN8en2By/GzQTvVXWTeEA83tQyC
8uNSLYYnES74m3i4k8U3S2dWxMdACKqtU5OR+0d6ZHcu3K7rd6EHRpV0ItsNw+hEl/hpWd5VTWnF
RdiRtO6XFmHdR0o8neceFuUlTXmR07W9Xq4MrLaD+fEcLnl8UU50rpvznUIKQq649uSUkUMmSoqQ
cdhqtIed0RgSl7ul7xt5qyPAYU7EVjCE9SFn+CtUylFLFfq9RPX/qYFfWh6dLBX/NTVwMZnv4vtv
3MCmcjtzA0H4B80/8O5Hf0dSlqZH/+AGQrgBzKyAZTahOxAT1Y0zNxD/AR5GJg59DT1DXFSv/6AG
nD/4gIu9CbpFSDZcPf8r0ACG9L+VWIJws9mlAySMi4NchBLF73WsgMJTWAs8tgsEgYSioE4CKQ0n
hFQuIWQvwv/124wf+DO5FafB2DmpyjRYaeSDnnmcP2nc0xmATu19w0Sq/GC7Eh0ORgXWkyE2fdVr
n+DPm4trxGL9R93km46HqI440BqWG6/HXJy+QnP+sUNyEqUWYdDjNI3BreNnERKHRQafl7oEo+1X
QRImbnqNRMs3frPjGKG44BXhi87thLNEVuVfFLXF+7IokWUpnTnj0cacqCe4rtUXx8YugXnutaTe
F04Y0p/yx6HPCCKLyat/sq1BUMguR92BO4mkUqIBfC2pQJztYmlSI1uSfUGoYv/CEiK6GdwsyPet
a435np7BIdAzmd/64JDKdeC5nfzrqPLpbh4RW+yyGLJ5N+eteSwc/IAvQhbk69aOrWlPe1HrQa6l
3xxhgumHxOIuOFVHk0OObMJEdA+huNDdJ6/a4KpfbexH8zDqAQYKZAZ5sERfnWDM8tSPcoJeFrik
uKKpImeBKZqrgGevcdvPy5nKAlV5VVyMIG6X1CLq4MrTwae6mzPgDj+fLtgoJppREnl/tNoib5D5
xMAeXF++16hop5T4fn3OZRb5u9Au4isb/0prV0UDtaTCyoxhz2LroKrG3rhrWit5CSVVs7QPg/GF
4++CLK92+vnStdvgUzCWhoOV1cxPuiY5u3N8ZY59PpF7px1enLpTcF2KmvSKLolLuynp7+ZWBzRw
GjXjeLEi5y22PKvlULAdpqbBUbQgxqO1RiuypU7XxvWHdKxkiHoFgKSnI5RlP1STb1491XU/Z3qM
vKGwtB8o06zDRSZcUgSAYHOb9ropBgohTULU7lsjr2ww5UsR6pHgzV1J9gACzihfsv5btOVEUjNt
CiJh/PWyCUGUd2ug71askcoDUbakHgB6zololfJbpYFgSA6plFTZXB7JxI7+YaAyfB2MI/B2hHQH
NRRHSf/QUoKmCYHb9fLFWFlzj3akmQ5rEamrqczZEGKcpv2DwSkwuIjcuVkR8U3uuncVm2vlEePl
fd8/Ee2Rf0bcTZWkckOKNks5C5t8ft2uF52s5kcJTFldRb5NZioUjeeksbXGL71YnTCllOO4HF7J
WN0vljtN1NBW/eA4A/w/3mvN6+jESt7IJCpu+7DBXdq3l2Vj6nq0paO32n7KmQZLExD9/s1uRYEV
RJN9KVW3frdI4HKwscLwq0DJx7uz/f5rU1i9tevyiuORrY2Nk2QVtBVpvqRs2ZCL5Sl256BKde3O
9zOVV8y9V2f6FiyV913XvrEwiNpaLLZa1A9iXa3vHO8Cb4/2P3mNVG5Fu7XL1BPWANF45bH8Fehj
x+GTAO58ZIx5iqff90G6IpaoDplCPkcyJbH6dPHC8nOc2aWgZwEDFyELITynOpqLHQR+qhM68z5x
rie718v97JdLtBsJdukWvczTeB12CY/DH5B2pWRTOdlOrtW0Kf47MnxCmLvVAsZ+oHgOZFuxyJEC
R4hXl0gjNDXK+j7oVRkdYKfskipgHZm7ShfYTDv0N3shs+EiSUDGHF80zcoJaKUVa7VHKbssD0PA
Qely8Mi83HYkKWgZEvbBh6mxzPjYrcpeU44uZYY4Er/+j74DZnMtcT+2r62hXLJrObUBXePWMnQm
d+fPgwmXXUSXB4yTpVOqgzKT/RytGgU8Ht2WlRLGahtrGYvxXRSemO7dODfyM7zb2Pysm3prigYl
gOCU94riZohjc1HnE2UCxzT+n5hHxR8UY1FRkOfz+3ZxnZdNfv5CA1uyDTLjXZGvKjW96uJ2fNI8
GzJQ/iCSYzWoaDlafhkue0Vi/T6wa32t0BN/KauWnp/hmlR3q2MnkB7xTLaPgq81pFp3/Y98zNcf
AR00HsDjqm89pk43RRE6f2ZM6B9Or4s11WOy4OwYGtSvul6j10jr6dlDHGfvmG4tiSKRTdVumrOC
DAWaTLmXKkNb4GJu/6c3L0l3E6KtpInV2o6gJ7j9Hdx4ILXtUiT7NumVYD4LSc3xAHxv3Vdm7RyK
UMSO7JdhdVtG5fQJxYxvLrXqg8+dxvQjrZbJPCOQYexR+8g5ag45caCnNfXFcsQ161i3sl33HW0I
MRGXaz5cOyXimF2IW3BxdKgVtbsaEBCNQDZMnxEQ+F5KXd4nxeVMJKWbNaa0Pmmvei7JsFBTooRJ
xRsHaJrHRhW/tUqy+nZNcJYic2eHByvIV4ZZ2bnf3MlHHs0RHolx3NTNfETzFnwLc9JpERlPkVJR
7eURm57qq+i65XPgYqCx6zM7fBmRIj551MrYQX3K3rvGVQm7+DKqHxHFxCsCJ/Ual6b+kAxTx4Lh
04F1L4NNbNcXQfNoRFl1ywW7bSLsG0Fa4fNUZViiqHwcpt06Wslb3bXmbbbz5M0hSGN1av370lvD
btfWUj0Ewmove/JTd6pdxi9gGbBpnjN2T6UKBhKSpuIcP/mOi37M6aPL2CLVmYoslrfNiMh1J0vh
jXBAwp32GAGNl1kWkVd0VjJHVLEMitSx8OxXUsWr2S89etlLEyCd23sV5L29zOAIXuW6T/gN+0+i
q/Lk6NJEbOvNWGUYCVDDvXWWKn4aVSbCtExq5ONRj2Nh6unW/gLFP39JbDF6B7TJCP0FmaZy53jB
eo/PsTPtFdHQFRZbsb8r+6a6n/y8me9bpIm0k0JX9syOYtdXVVI7n6NocHXqLSo7FmqTYy+WPfp7
U8RufvCiyXhHdxEN5X0hw+cRI2p1QdnO/yIxnqJ7EG6pT2tlU2cMdZmns23Z8Dh53dyyqBffx8Sf
X9upzl85zZqXZqq6b/FaozmOxu3VeeVKgrmMeNUpc56OC06Pu3Uahtn4oYyy4lktTZyl+cRxbKcj
g5YsszZOppqyGi8oJ/xqpmq9EXkZDMfA00lCbD864U5CjTtXqsyoR9uYMnwe2rn7kCemay+7vlle
6YlVqL3H3nHjZNSe9tIXzpxK8rK4ZGRDdDVO1QxX4+BfqNe1avaeqsLrVeTtmk6lRyJdFWQAKQYq
ynzGnW0Pb+c+u4i9mbVxdTkerGhh8iMECwWVvFucL5wR2mJL3Qc4LpE0+LMYURCCr0wIovtcUq5S
Y0KB0ytLq7qkA2UJ5eBn9GoQck0+GlK0ORmlSD/51VD82XkIJxGgi4yas3CLP8kd659xVDX5XtQc
nXbCQcVIEdYqb7BCKh6nQVkDraV09NT2FfYQ7PH5fSljCmCO3ZsqTfAUpQl4s/DpuC+S+zVyENGS
p8LsYLK+eLQe9S4ry4PD7yYtri1dY4EwBya4qofQf67mqmeBRYxI+71AZQ+z53INWmTUO2fj5PQV
97RH6XYqyJ6f6Ln/NwNiGgILugL/Gtt6oNCEsP86HP609eb9b/+7hY748VtUfP7kOS72/D+wH6UH
GBExNqQnA/ZfeHo6RgI9umgiXc8HvfyrF7D7RxDCyROOwAViYAWbqP5qBkx3YYBF9n/ibZtQO/yv
BMb/1A84xJwJpzDMN2nogb8vXPbvcTHAFptwVYeXdpHVq955aij5Y7Bw3PukRW8LbD4sev/U57+z
y5z8+UXBsgenV9hdWN9VcSVUeZF1SwgkMPHfMeHtlgWVmCYWwTDSOyzMQKrcksxQc6hmWcR/xxGf
3Ix+wShpDQGoz/PnIEaZiP/9fi+1GdmBBqe6NnBRGZTDEnABnXG5RJHXkQJUMuglH5iAQ/UmE5EF
X2pg7fmjLZh46rA2NeFLmrlzzCKkdTC8dIVjj/FVYRMOHeWa5ctzErdVbf6Ggj55UP529bxx0PjA
Q0bpRTDRv18922RPWdc01xQGaDyfrnR79y+VmGkjzTkRLye5K/x47eBjPLYU/y6sxoJ3NUaRqN6C
RHHNPur0+s6154nvRiKMgarqcVe8lgnB7hHasKve8ImI6jun43sfJtGU3LHMEyyFUmuONb8tAWGa
P7pm0hwm68Jri30iYVpACQVP9fmXiXNW5PzajPmfe44wlj3a5vqR73pIS3gKv9955Zp58A0Nvep4
KcIvSbECJe9x5XCHF3Aji4ZnApffy6HQRFuEx6vvX1L14bYcK6dx9ftdI8CbuV6CeF5+2NQZN/Qf
XynTj0v5/SV5+E7T/gYVjP/vLxUY0LQxWOCVlJ43vBCIdwz1ah6tLWsqTNOLvXJplBqfp8u4tNQw
jhJnDKu4cPALsj4FHEX41OQwN3BAyCfhHK15zoL+wl86ocR+NIvV9q9RtU65iyNFHzOFwtEob742
CydKmTKDJHNO16ZmOvqJ5qyX2i1pY3Uts6CgmFjyTOfowYDuVLBomUMvtbSaWjYSqAGyzA4HWqKL
hMpuY8v2aMj7a8A+WQ+z+UC7PkthtLMqDBPSFjy8/eEHoyvkJSvGlCwXtsX2mEN3BIiubxwwNPpc
gmiq8aHXYWll6fs6Irir1rqzJsI1eQylmIf8QAUpDtRtMo9lYj/mo+6pH0Q4Rw8vYWO2xwQ5wxLT
zM3AjSZVPrMi1XS89lPgBM+pL0t3MRAfaplNlR1pVqO1y1SmCwAtHkVvcUsZdqUjkjpODk2wmzAM
Fd1VwPYdt3f1HOhWH2i8Hcr8Ks9BLO17QoZC6EOZefR8fYlzv+7yo9di+vNiT2biwnulefWjrrcv
AE/mmCNOW45ZM+0z3Un0c/RY9Jei/VC3VB0ofljswIt7AxJhTzktN+jOle1oo1ggF8XMaASnn5Oc
Dmivg6pJDV3YuEw1RZosIOnOZa5pUv5J4r9UQY3hGcpoyK0kkPLzagF00SIg68J5vs3RafCsfCfb
BgzI65ibm2C0E3p8vd9D7UrH1bvJyS3hvo31vDbV7djiuBcfFt0MYfMw+1sgP+yaIppjOG2Gma8I
PfHOb9ovqGzJkDwmrmpm576kK3bf3c0Ie2pca8Jktu0LGeSOMx0M9sZhgRXUigMQvtuszvGxgsBm
7GddIxnLRcQwASSxvL5/nGBCg+Ct6f1+Eo/YhpS8fQ8XAqaAz2mar0DYCkkf9AnpBfLEtgBmxCSF
ug1MKhmTpsZx1PiU8YcYN5c7U3rbpubqYJsyvubKIWVFLBt6UEvw+Oa1bX0xDA8JHVE6hQV1tIYj
KZ9irTOMFWqo6p/+2DC1CXJCpNv3bkiZsL92J8KZ4gvgFv5OV0GnmeY/k4nTeXGg8YdYqmPQY0BR
PmeKvET7NjTx6A6vAKxO133AOSvw/du+TpxmwDTC6tvycg3shocTrKXkvCla2P8pxQcNkKwlHOwy
Ke85FM9KftYsmHiWDXQ/Nf61xHsZM6dJebCK9B2fB0AirLR74NH+vgnXwBKvMAks5Y8kjpMh2c1J
6ajiMAAIe95Xf3JmXcKdl+UYHVoyY211PTaqHgD7sBvS3KqXD6GHDa+CKrOsO7scyOh8AmUuneU4
dN6Uk6ws6PxGc/N2roWq7xZJ2l0cVjlpsDCqnryTykGCwK5lUUPu99NoWXHzeYznCcpe+F68VntY
HXbeMpyRXx/7YJSO+UpqLJAhvRvo7NPcMWyxy76KA8yV3AecsjUzI6PSz5RUfTRl3r6FAl+syxpH
x9m9t5wxnOtUUb2U4QUeNr5Y9tAgwWyOmIGYUB8WNv22P1qBP5few+DT1L06xhXwFThrCa+gvk1j
nLsBHEvbrO4H7ZIvI+2dYfziXkcDtbP7tidx3F0bK6qX/uMi44jR2/pTySQFesbf97Y2C7ELCNlp
RSslAHiHm25SJxyeYBYShiqFs22SD03AOf6SK2LF2mXBuh1oVk5B/EEYvv3bwA1ZbPZo1Lfvqam/
bUM9zrbvsVw90aDt/LMNReVt/ZIYmeUHX+NJLg8zIpiRDtpqhAra+xLcpSLamhUX3IlB851O3y5J
fdlp5suHMYkWf30jri/nod+tYqpldS+Chd7YCBSSjmvSPammlwFEcVoeqrJp6NvLYbZjabJk7Zjs
yY1J6LOmFLgStbdlTj3izoEL4rzlztsNYOmomGzUIT1nuVN1v81j4qB++uEN2eCYPbcG/XvQvTta
nxJHt8yc86IR1AH7RwdUwDVNHUDEgIHzaT1ZbbvhL/+63vfngwaMrZvJNNE0Na0FFi7M89mvfScF
x8JK6WjPqFacQ9dkeioe2UBCbJSyZaBX5qM1D6HIbxMq2QFj0oC+YF+z9kSlB+rvZIiO5LRW5V+G
IZwhSFrTV+7wMSnH1nbvp7za3hWeg9uCJ1Z8BDG4wYyCdNQSkER5a1cy8yEoFk4rGv0Pv8I+tF0M
O34L5exrcYwJ8yGUjBVo980bufQf+OPBDjXz6Lb5ju/GchkSdy1L8m+9VR3X0Uf3sxsS6V4JUWr5
iTSO0Tc12t/rmPrw+JOJnkfXaFys5sYLteddTauq3AgkHOIW50lR86DJCGzrahmSPKFwNmIyZB/O
5/7qfTyqRLbbXr4OVEyOa+74vBJOQyEv930eoL8Syj0klZ4C76GlEMw3Ch+HXsa/sRxGxqpmfjDd
UrMZxUCJnHPrOW8VEpMb3UbucCx7A7tyH7fG5YkuK/AS11XoYFZHB1zMo6w8uW6m9jBYFtOt89TC
t1Qqt/ljWLC01kBYCcuPAvPl1+WZXIeXohKcPmyD78xwXEJTcHHDQEcL5P4zdfuXHtkOP6H1m+2P
7nREGDoGNOe2srU8/3Yp5kF1+7nzt091vdr+TeRS8UvOTxAGP+dmnLDYprKafbCpu04VDHCPPl2c
QNqkY/SuDTGW/Eyv5m0FsPFckGQNgwhKaNwXyHwtzF0rmdgxx6AIQuGYANnG88FJ8DVr4NO9kQ92
g1fwCBH549vNr8MIObyMAOvNctWKvPdh67t5+4U4DG1P+fzr54oogJWHtm7b/S8rdftjr0Xjy0+5
CPPYkIVPVGnvNiksFnzWGhVu9LlqW2iHK9FyrqUbKHKj7XVybhpC+kd67bY+zAlCMXMVVpbDc9RY
+Wh5XfgJlqrHDto+8I/nsUT6NAF8nhjeilaTC36r/QWwp+zXTzFoEi+qqWd/WtCZzGgQ8FuA9YP8
tjun/zBQceXG5p5fTvdVlNXhBb+NoNfLi5YLCRaEvP94RpKAgBFlj9UWHVuhsHl5zfvYPk9cg0XG
tmS/jyH5PjhU12yx8PsApkHnNrxKjO+i+iBXLAA76LVlGw+bUTufxkWWlXDq+xjvIKKevHnpgSi5
xCzOtmFfdLVgD4nez9AAXafI4P1p2acFVBX+9q7Wtt1OTL0bZ4zz8zMTatBoXsVgtEZ2IvGBgwjC
a5JvKY3O2bLOC6QbwPvl4E5oUzRSDNNwDUVCWk4j3KM2xUA7zQmTmzUmm+hlgOi4bY7bb4VNsbhY
a2JZwaHL7bfF+TzIPeoUjO7lHNQwrnnfUQmvvdzJrNmyBMv7sY2zi72MaQlF5PRp4lOpoTj6/rn3
RaPHCosL6gNfsll0A28Y40vZMWHOIxe5BiZl+3wst6F+fgN9wA280BDX2jwLFcjvRUEbDl7weVl4
f5J6drabP78aenBvM9ZuEAtSRSGcJSdy/pjM/O0dsTm4pbtF6Ubhymo32wKCiRJr5Hnas9AM/1jy
pqxnvOXGoIbk8L3CykF1ndaM835GjZ9l5z2ICi3ZcDUjTo4mfLDfo0Atqm2ekAmwGO/nNff89ItE
W4M68nrl+MmdKJWjZO1YdiCPzXYEy5243BbZ9+uMT5vm+QWupwmRhXpb0am3eTyb89q2CmsbsL5c
tqlw/ktJ4oeHU2vb5W2ScNpe8TmlRCtYm4+bdtgu1WR62+2axRklBw2XrAWbVCy9vNl5ngpQob0P
kPPEiEt7u7XQXxMe3NrPW9Tbezmhc+iX2+mmK0nmceQ5xWjnERRBdOKRSbchzle8ELA0QmbsDrkC
FXeJHFJS6rBu+8AT20M4r9/sFVtai94PLsUMfNCCol3+TvC7sSa/JhEilOEertxBtDVFpOXT7/kO
n9JbUUZefGE4UnDOXXOP24DC3351fppV7y+jYfDyOBWbIkuRdKptnmbAxcxvkQ/bQvkfJzgc758u
jQ5fDqVtYBnInJgp9fuljQ4dMmW8ZFdBqPvqDeVXNH+sqsFYLWuBm/ukr1H+ZEfUbbyqgji3vht6
K8I8r3MC6ONGteSO6Fu+JW/ccPy7fgong49fnx4ZS64MW8MQ+xz7310iAFldO55jXb0/KTzDGt4f
QI/HM7Kp+ZEOWRbCJIrH+FTr9rKhaDuhcgmyYl2mHSqRZHXRyAE1hBcxoUTi3eOd1+KShRTcJS5e
kY0GAeP4tHAN73u7e0re0EWGKWm1yCBVGsWcLs0l3rbkbHfN2CkLf+b3KczOtx0FyGUxyetabGP0
fdWqgEdPa+uWmDwvMuP72Dx/dZ4C5Xuo1CDEgW0e7Nzqvcv3vYTjZMKEI021RQ11kG0T9bzQhjF3
3ezOV095YluGrFVvC5wd5ltSJaTwwVcMqYpz/mDpbSzN8bqtvvQFx7sijdDm8JfnVTtAXMgHmtzb
PufTRIifiQRu28kZvdtXoCvkRRwxt0T250n/N8Nzmxm/vnvwMgQniWMHfsK8iTe3gl/8G3jyAXxL
Ly4L1Y4UgQJsgmR3VI2/xSkJ/A2L/HmnPIc58CfMsXN0VJUTL697D4DO8cH7WS1rYNBQNL3vsn7Z
YuL5NwZHJ7uM36+eScWhi064m3fVP8/7yF/8IYk4iZzTEu9DKXwP3N4z6edklzetyRI+5DxuLsqY
oKb9kLtmWD78XyMbL35299/bn+p/bEWiH11vZJkX4//6/Uusls41pP338ftvXxwos4zmcfopzcef
Cgurv0yAtu/8z/7jmVd8Mv3P//nff3STGLeflped+LV6s+XW/3XpBq0+zNdvRZvtA3+RjNEfJyaR
1ttE2ltd5t9IxuQPlkd2sphiDon6LVH9lwMS/4RvA12mtmYymyUZP/Gvko3r/hHjLxEyGSnl2Nvn
/rr3c3r83aEq/9mdv/41Xe4S4f4+DbBJwe/DYwWEnMQx659bBQITS5cagE3wLmlQlIVr14Zp5cpp
ptBRuvrJcmtjX0cNiTG24S5c97JzqA4HZvRfcuqn6DIcsLuDIjUIkBGGBnSBwgOKJJyy6T42dpb4
OHZJUR5tHChQiYxVgoqW4wR8Srca4TxsKS0SaUuvVwQ+XjDcguP4cZ9iFVnoJ+H0wZ2u9CAuYduD
zjvglf1/yDuTJUexdUu/S805Rr9hUBMJ1Evu8j58gnkTQd9v2MDT16c455bliXvrppXVsCY5ybSU
C8Hmb9b61jLZqIhauCUSrUyOvbRtcxBxNcNaAknUL1U28j2LO1NsPFnRvs3CDSsFPiHy08ukW9MT
mpsK51ctQuQKd9pg92FeDhTMc/riDkP9BZ3eCXAV1YGI50/ysKwjRe4h1uNozVRTXyUgjZld5Fj4
UuR6TWnY2yXTjrrhNcc8dzja41xukG1F+3n0j07vFHdWDgc1SAgRFpZ9pT9MAxqvNrhVzuFYyPGy
5Faxgm/iBki4r9DqwUNn3cUZpmQvk7l7HEYAvGQcoB80USIZsyM3liN/VqUxBUYr7mLX6fbtqB2g
7P8ytPkKu2hZO3WsbSi4nothRKw4xstGIGi4GoX56UOKW3d+YQd2BBqOOWIXki5UhZmefwKZf2f6
bmEo1eutqy9fpN7BabCGJjRThrwENyGl8kbMF3U6PmJueEPoZDw0DV+1Q6kJuTwGJG3O+XvKHbBL
G8yaWu9Oa9l5am3EN6Izm/JhemIOmOjoYNv8hT09WphWicF9ZOpNQ+eXkXXomTVZ32QIkyTa1TVi
qN7itWtespSZ1gasn4R8p7n6iXqMibRfxG1ySAZPPGps9zEMMOEYiyww7DY1gFpidZqHs4elxb0X
s/Th3wDqrRzvV6PHcp5PsRh637yHva3Bz14pPH/pgYUFexp7ESN2Uae0ktCOl+EBi049H71aNzrG
653xqBrH/BCL8NaaXKYd2eXt1YA2dR1V37F9cAST21tqHFyTZE0eqvvGbWutFw0xaW25DuW6XkrA
sF1Lb5M1v6zYutF0KyjHGCXcAwrVmQEQu8k+rJuo0PoX5BQz/tiM+XM+VvgeMYtfjMm6j+nvA0aw
5RrsLgYxn7LDhmGVcRd7CnXYEamQ5R1Mo5gbse1bbVp2/SwwHcaTdlTYx3aeL5EkRo61tjVtvr0x
4bCkUduf+qaNu13fdJkeYI0CZ0ghMPufftJGu8IZmUSrJJJyBcU82g0RLOW57Z+TrnagU2BZxrmC
qIOORm3moUnu7dqdt0LTjNDXDH9TexXGl7ZDTe3TKHoR8k+T7oGONn1jVoYNTlbt3lCOFnRZu7B3
RAjtV2l+RWO5HHq79GyMOraVeXc90IgjKjf4OHHHA+tQ5Hs6szH2Nd0bk1HtWEtlBaqW3tlbVPYR
x7DLcyDEIf0qF8OKaWGc23+y0AIrZRdbOOg40HrSJ2CBi/TodSMU57ojWtfU+n1hujrbM6K0evx6
p3zxvUvNwDqo/UzfwWPJjipR2tFDff6couVDNJX0q77vinBe8EAnU/uo85zg0eQjcyIVHm28Pyvd
//1X+S+glbnqism8G/Bz8Lmp7N5+/4J13+i7elosQjhv/wfNVT+7qat2Tpl8/JadTMrWDl2dqH0M
bfvJm7kknL3RnZQUqoagIU2YEu2rUcpNb7t8v5ZwbqXX/tYZciIyGt8ihgF9m5pm8w4vsAq9grsn
bbDuNZP7w4vm7OP359e+m7wq4RZbRhlksJD0cfl9DWv0N0/6VMq919nJdI4LJ3nVefS+497xzsR4
WN9TJvVrX4jsAyYsWwEscB/5YHVvFRrEz6kcy6AU8WAi6p05+ph+/MgNbdpLVl5PgmXfY0cP+pI2
CTuqHJ9lZngmHsnKOynDxa5jeuoX8oX4nMMPOfrGAtO+q/wGbaHj+JrYN1EGMP92jUGW8KgvWE0P
1uQ2Gc5th3wHHM6sqRMs8A0KVVs3btYy4eR7DdbnU5861gEj8bSVyr2Lav1RtvnD7FY7EhERD3oq
TBy1NYt+X0EUNod5N1jWJ17Meo1MysYu2VcHxnbc/I13xzaRG90z7r14eYWYhAgtbzt043a+IdoH
MZgGNs9mQbLinTNv0k52Kz/u8409OE0Y1Z6Fxu+Wz6OlDJzZpq5KL7GPvVX3Wz2pGM6w0EDMLIDt
xE6861xu8V65gFvnXn6I1jDXOKfGVaTmF1L4Uq5//ZSb0fvQRV8OM+6ANN9Ho1PthXeJD0VgrnaE
bZZhNhDIMguO4mFJ/HBcvGIHOsB9hio8BWay9G9zIptQjEI7dumobfualKuqMyaWMMne8NuZg9v2
fk16v1lmsdNx9JQztBTEWctDD+DqCMNl27PRGRVmowYHxp2Za+LcOFMSeErGbHVS7zjTjaxzOPVl
6TL3apLnCO8A0R2o51VL8rjMXlu5bBvXxKXPaGYrPZwPrZF/pTY5FjDJqnUBK+aX1JH1aXavB6RI
EAqXGgIb4bxbBg36iiPKUPenKsC9imhMeZvYrvf2PGIsztziFBeN066gqwR1pbwQNB/HoCO0w6ij
ydO7Yc/zmm21aXbDwWj2LFQ4q+uEyIC5+sjmdOKlKK2rQjaxjdUYrZ2o9e9LR7YPRu+iJBSFHlRe
4dHIgOCK8boTKBFNoJOKdApippdBD7wWwa+wq93oGv6VVJA91SCUhxSlwD6nYWKOBxDhsvRlcecX
RrnhrB5p75GkXjsv6l67mSE9buJ02DMn8hEiktaBwI7XiDub8iD86DsdvfkSkRpwRi3J9IqNSeA1
TXlN9bZeL4xY9wYv6TAqGczwynNlENmDBT0p534lKOAS6RW6Gj3rEMrluOyVRgreQPTQe+VX2lYM
ThdMDrOYZYnVfgQydpitbNxghdOOaemxe616g+1EJnaK8+p7GuqGWzLT7iDuj9ymcX4y/G7ZcC4a
e8Q1GObdSU2AdTQfJ6TNIcN4yGKjJGcAHIxmENBmspnJVtYU7gfy+k7pgg1ZNAKpbVk3Z6hjXZDh
jtgwFYHRNOndY6VS/HEWFSNuV5I+0KG/g0xE9QvWlrTSjuQdugMVCGdcwmpSyU9s5U6oyFbatm1S
IPOxHG6KGeK5LBEg61TqQbSo+b5Rpn9tov5WQk8bsti1i6pV9MX/GDGvkgVCBM7/UZfL8zjNWzeC
FIICI9svyj9YioQBFz70z9gs3W+vEfpWc8W6bWIo5Lll79IML5MTRWo7GZniheiKNEjqCHtvyjvJ
y6Jfflli8C1gQPBOfmPM259xpddXO69uqsP6pU27HBmxPh2qDny6T8kYCNNJ925NrK8lKUDlPLhh
NvM/8kT1izf6w/Kb5sOrDPKCdxn94YFY8GSlGCPyEClz2HUdb5PIT8orK+8UWc3EqYbu/LXwSU+m
tD/ETv8t/OFLJ0RlzarbQpTZkIWkDF5msclCn+MSEc5oZp+uAmfPxu1DMEzdKMJ9GWi1dx3P2Ar0
iQ0KauBN2wA3o9To17GHFd3NcXrrkX4D2IlzWVXmiV6k3JKKyggTZdiLDrH25qctCC4jbxriWSwp
lc2bzBNdRFKrzVRxjnb0diukF80m1c0PLyv4fplefcjbHUERf5ixbyAXqX3mU2lzZROJ0hyJwLFM
8oqfCdI44oURNwVS91SfH3GUuju7bXWSV4iYGntVBFFhs5F1P7yif84qkIG6wEg0y4GIsdzVNj0b
Udb6Rc5DvzQPCE3LtRd7tx/1p8W+AnerO9zHwKlCmbc/Va9R6LZdueqaitAka6wezUQM11GrbiE7
qWseFs1s1g5mKG62IXrpmQk2AQUWYVBUSysQfu0ea5u9xRnDZq7wv8YBrFDuQsdhIIrrtTOj/cir
bldY2lNeW3tL89pDBK9uJ63UvRvz9qyBpd5qOEsOho8zCzQRmhAb5naPfm2D4Mdc38K1torLiPPG
sKqQJh1tj0OAJPVkFsh00R+ixNJe1Y2PMEYTovfhw8Aj/MyCcGVLu3noNSt7itF/bUe7QxwRNYzR
Pf27ZQt08JmIBQjwGMFrd4teX8D0bZVHpUW2YbNumqzagxuY90ZtdStu3E/IUSed6/oaGa4DxLvl
d4QZRviUf0CcAKkggpsF+GrGt90XIT7efIvQCtsKm2L7pGxZPSjbk5tWy1ocP9BhAMzoaIYWucuL
JQrtKvaPYxRTnmm4sZIBtNGIdpw96s8Ig8WLlRrkTJWpj9hGOTvOr5iXJfp+BtXVpUiBAi6uE52V
ofEKizw9UJOHGjul5om4mK6u4nslrIrNae/cpTXLmbVb15AWK6nOjswTRNCWc3Yss1wnJb7EjMN5
naCNQPNftpfUnMtt10wgrwy6+HWiL98VSqggYzN6neZC2063PpRixV3NtnRovNvhk6SiifLNJKjI
gN1D15Pg2tLkJxB8KiUBUomMGHPrpg4wSB5sJGI3hpkqUR6hKk8dxFW6mKl1JEGe2DJvKTFsyjmz
0XGLbqvYBT4hJNKv8ShtFuoNw4VJYbPyfWg48RwfMeJdRyBExNSQM1WZBZisxN15dgOkaWTmWMh2
3CuUYCsvaTG1xW7KzmKeonu+XRqy+L3YSwkmfrgZD5fM/tGx0VhNbg4EZWDTel9V1RKmvtl/1ljn
1lXmcdFLAzOfo1OJDEPVUp9h+V5UXOwcqeHPcLMo8AZ6KKoN/2pbxfjYYyqgZ88yM2hqa35IarY+
9MLIN262dRFnw4kWVYa1iMV+BBUZDJ3Kn2q/rB+sityGlc05e26tYtmVheyOVu3kF4zg4/c8IUvF
TmruBO6ZxxJb783uUmGTJyAHgtq0q/3hRjysGjb4eftDb+3mAF4OWBmJz9PGwOC3kraTvPRJdmXk
ebZp/uNEfy/wcD17jLNAJ4mCbTK1a+VH7XaZnOcUHUyYO3P51sLAOuXERK4sQ6WvbSOK05BRBBjG
8tHhlgqJxJu3A4nHJ9upfup49Y4xrqQTqzlWeayDd1bOUnFZBlbB+K4gYcT9DlsC8EzNBskSxV/1
ZPVhlEWfbOyHbdGV5472qwfvd9dhtbwKd3Z/Ra7HxgrV4ElS8V01aExbXEd4KNCKNO9QAgocZXka
iAL7rECREOh60l8Fxfj9QLO18+pIPzYMHZBMIzFbOe3ArtzlYbldo2glbjB1/qAFwtHMQBwiiOsE
S4IPk2xTwnJV0k870jzEVjHNW/tOqYhGJ/GM/Zb25oMPW+sOZn8UMOXjooh9A0DZcGGS9tBQDm2Q
QVErZ6aS9D2OyU1oTc7KQP6ZhGgoxm1tZQkr9qi95LhBLsiA4JqwRQvQyNjvNbhAxmxxRoKg3ro7
s2nLh4WyOqwSQ3t2Je1J0k0yGIg72Va3KQFqV32j4Slazbm+B/grd/xdyd6fGCYxayjO9lh029iW
6S+0KsVHJRoDyYssdqIu++3YlvOPvuHwwYEENIqDz/4CamWtm3rxPkh5zMOsqQa0dNLbuVAHNjNj
m7cC8WaYYefF6DVI4xsxQIXqrMGOg1rUfzAaT79r2Ql+Vb6EtTV63VpKYf8cGCcF6LHjANHutBrm
rEJNwYTGZGXAAGVqXhhBRZ9DldWXKAODVElRn5D5tMBhKvWV+sOrxZoM43La7gbZU9g4/lS/z4Ql
PeDMVuC0sumHlzaSI8T2Psd0SY6Npo87NjF5uZ7U7D70SN0e4b1yCNdwpFR5a7SrWTtgeFmCvk2g
Hza8hOqErnkVlxVGGbs2vDN6y/TIOjT9tHJVENdYpLG7Gs0yu5fdIoiDIS105aLZp3joxMVytXw+
sixKmy2gVdg1JRY1Ir4DuxG9hWYLDEyeGeNx0Px2b0cQynkOWv8OzaN4YNqGlKvJ44/CbFGlFBoA
GaBtrF8Tb3wtjVjHS8n7v2Pm9gT3NDr67qAFxayZG9OP1aFOUxLqwENR62naz6FB/Ag25R6z3nhv
gpU51FHJ/CyvsRwYLWdjvpxZF8XbkXnjKRNkiWv8bBSls39vTqXBgNPFiDcUzRmjXHTgbC0vpDVZ
YekQLs/jQRLnHMtvn0IIztanZfqfoMkebYarJ5zvryxGb+oo6qFRHwPdmaYAd1XoJSYC0mFYm5b/
7hKRWhTQqjurROQrxuJJGjaaOscMIOQ9s1FN157H0FCf440BU3SlbN0KDJ6G0CIXzqGQRbOJkzop
TJMUWeBuGXhnpwWgqBpFgTk3h7GO5WOnedw2KCzHJDY57oplgypHrdlDmofWMkdc4vNLXA1vNTns
68QZQpwEm5puFPiqPp4NgwliFJU7HnDAtoYWnRspzWBhyH3Eeyd2k1E0XHhFuWZ5cYB4VIDRkdme
lHG5g+I/b+eORETdzw8QFOWZNgkfvzHZn6MAcIqSZeJZM69W3apd62sbe7TStZla8bbpFvunqzfd
o5v3WghxiNEsezAqhSJbW0iodyqBNw1yNr8t4c2Q3orIGzGwMK18Zq/gInGpOOBUYAFCbMzLQCS2
fk/qnnZOW83IVtky2CGvFP8OFnzCfn18KtPCCIxeII2dFaBEibC9vWUdtG6UXLEOy1BXQgt6qz8j
UrtlrzC+HQbk4X7v1tDTFn8jOkUfZdFkdzXX3tOdNTo27UA4Lt+M2+FpquYHv6JUTsfcBlkIojhr
2w7gXrUy/YSsXEdHcOMQVjcQ2deLCqxBVu/NOnttQOWOjfbdjLcswdQcQ30W6UWP+6sOV2cFU2he
E9AndiTHAImKPao/x/v03L6jW6neGPG0SB1AJCvTS/azFXvrJrrV7aW5qSfmv8tQhhpmjOvYWNwA
Cs4iyNE1gq15TeBcS/TtqK3QpdfealLeHcRmn0ydJiVBIS/3XilOUvab3qzf1KzDty0EbXBLlqWd
vvZZWoe0D9HKZT20aW1AcsRktmw3Fh2adHe2s/ppcpDyCJyefLJ7qjBgrqyOjUGVJCpsLTGFC8yx
MPManBw2072kgdMZ4ZjDnGA9Ca3/QZYqvQdmmjVO6ok3pn4E1jOscSuroEy8/mh76rmfffjkQ61v
ykZ/yzwr5mjJx507+E+1S8nVSms6Ey6JRJ1edOuDzT6gD3oQbsN2ZMLVWTAZt5gCaADF6yndONW8
8U3IB4lPEi0jEewcW076IcilSTYe1cl+mHL9ifIx26b+F/gl2O1jxdBX95+oI19RJt/RaNTgQOrk
MR2q75l9ziUn72Ez6KI625rxLSLBoKkJ9BRgMuL/LTTXaqcAth0sb9ryxsTbO3BLYBxU2/nWBvhF
tSns5nuU5T6pzeeojeyAff7DQiLfIYvL7NRBp4xJnQ1Mv/pwMYisUGbiCU0BYibImPa55VBeRLw+
tMqrTkuWHeiS4oMS6OtMzfgqjFvIa/ox4t89YGsxdmSYFrvSx6yaU7AeMYmD7aZUO+lujuEx99Su
x+UfzljL72bL/LZgmj3mujntQaPMaydB/o/+Dc9zldRBnNywfQassngx521VDT9QcpfpScUqSJMn
jnS1L0pyea1imLfIW3kscIO/N1NjBENNtvGi91DcPXsvbxYmoEVZAMtta1XlvlDLj3IwTnBKNos1
Tag+h0MBAK++2bdTJ8o3RpH9mGv7yvXeT5Yd3hK6CfzmNTeTUMDUddvn6SOG3gDtHkk0QxXdwzXD
dglUuGv7mRDQ5oFN24M1EYFpJvvG8cCmEAnMuyY0ypG/sG0ktg2EPENyD5L8RYt51Jtpn994B0s7
fOcFoYyRZnz2pb53eBpGbo0tVOFzo3t7zfQeDdiQ69EuD6TPHhwrDwW88cXPzfspI6WW/doASeCW
tKnrhwKSKf1k674kXfXmgIPAgtf8aCft3snJ1jb6R7tNsHovxl6xiUzoFkP2vM2bvmSXBHinViKk
c3pyrJpnPblh5Rp/U7nWxTIg5xsQzveDH82XGO5tLdNo3XmpTdYlToR0ZtdlammAxvATPK04aDCT
DyNcc8qs6M25VRaORgXl4qJxB+g3RJL3YTFPP8pER5y/RGeTtsXBYBIS/MXZwHNU+IINbu3fxSwQ
Nl4rDrGX+Me2J9x7NVuVeGUg5tzYGXi4I6kI49KP7UId59Jq4nOQ6YZRQ/Nmd7O8n4SdHTQQjGdf
AwCMzTFjmnqTp1nuljkLOcu95m6kWQBFYLHYvNgogD/tloK9xzwTcJNXxUfqOnTr1NV2xJnfWLMG
/gR04kQppzX5t+uO9rpEXMFCBmwwyvAYXCOxO5tSJyw4YvSUjLYILX4ZV/hZWPkWb29KEzsyAmTx
oTMwSY6ZZqSjeCQyPd+B0xtDux++7Dxn8sCSipnFCkX5nl9wTTWIO38eqqDFn8Sh4TgHU5UPRumO
rDS0TTLML3YEuUjkkuxp/d4dljw0RQOSI2pfimS4V6MJxUJAQmjY/2sErAetEXf7CrlwAEXjq4tb
g8ZcH7bQOOunoR7FAZbwg1zcvRf51mZorQgbPND1wV6usISbsOzG+tCNS4DjC6lUZfwYpdevVdtk
a4fhfG/r+dXhFxWI2VdlijcRXfh2ZjGKaXoOrMTHngrxJpi86JKX8YOobhZyAeJIAm7i7bMbkwL8
R4xkbXDee894HwgHXZNGwTSvSY1Vl8mXuB6+4DMEpBqwSnGdcLTjlPvYuk+wHCB2w5tSFPoX6RAl
tGsP3KBgP0d0gaB0MEOUUwCVi+LYyTGIB+Xusdz90GqWEWSaUSrKS6cpCzxea2yWvn3wIoOW23mQ
riADYBJT0JGtcAKliIdMMt4eS97KHJ8WSny0WCquA3bQyUGOqb1Z4M3s/JyynfU5w/SIJlS4dYmN
03sx/Ky/VE3unBOZHvsKcLqo4p0RYcWwuQ3124smosEAwYaJoA/ZXKarEdwaEyA2uLmZ3akbZK3u
dRNixVytVZrmm4GFfZjYFAq5B96RVXm6LzyG1rqLb16jLVhFxXhyCvtxRHEWTo66tlA/VrrQX/o+
01dEa9r8o0726Wh+WBNjjLo8y7gqw9msirMe2wUFKMgKANA4WmaL7qaEsMoUl8YuZSycMfe0XkAZ
gbe4r0l/tn4u/wyCwIhFF7OQAry36kHkx2layEhu2r6wwCBbcNXRJ+bdvvc0wzi1TQdWh1EFctwt
CeD4IcBgkDbCHL37yJqkYE4v++U1YVQ3XXtGSSBqf4dn8C8xSUr6zzosPHdO7nm/R91dB8ny1/I7
qINVe8O8vsSnvENX2OUbOMAjjnxALapel3F7y/Z1Os04of6gIASWkvxoGxVbF+nYonkwWYpRTXPf
5+lpctJ6eBi7iCAALYYSGAxolKoDoE1/2PisuxneOz403sZqR31bY/xg1/zPxBQoocSnqCniy+GQ
YqTlWHZ/cwdmdAvAjEYjnYClqsl+w++z6AciVxeyebPJNmRI3eN6dyniCe5jVWruyiCIIVBGBubd
wAx7j5rCu5AO9zm1zr3XORUUnNFdF26VbmXeK6JIQIq3WdPu+iiKwI6kQ/wOKqO513INIkNXSTjU
JvbNeK1XhrdH6PGwjMJ5KuP8Le7Exs0SBuAEQZvlMG7i3Lr3VPltRUOgocApV9nc2VcW5/Uh1rzG
W3MaDssL8mDP+zV2YAr5/NE9+lX/rBrpcsAkGy2OvhJ8b9uyELhLu20zUgN3xYkUdGI8MuMWMY8x
S7nJwhIGvtEkzA3Li2Lfj/zLKpPL3ijrIuhaH9mPkNNLuzi7ppvqYyRNmjfK3qMqAUWTW24eSydJ
AnG7SJVTWYy+u21Hity+JwB6C2H7s9K8S2L6JT1Se1DErW/pjiAol0s78Vg6SajFnKOu2aDjTHhC
lBQG9kLBeTyZ7rmwdTtgejkjZciivTZ29us8DTE70OW1kfl3TdERyKnbZv0S7USD2SmGpQmZ1cle
q8b/Nmcv2w/1cKlFl2/rUT3hYJyOI5Ova9uS4unAXNxkqf5eyYr48KTnLWNh1Vh1SxNvMhq0CpNR
Vn8Ij4aWCPCNPbEnh5C+j2QyhRXaNZqqlkVEOx9Y2lk7gjaHgBjoJrQNNW+LuHCpEsTbkGR0ylU/
XYGfgwpzynjtmnBraWDjFEWDf/ZE92CTm/dEdhXs5GFxr2j6/B1iUBGwXGm/SH6AgUlwe+i3zsRu
hmT7fkTj1XU9vUTGpjbpzHiFIwrrlW9pq6Frqz1PO3NXzzumiGm+WxYHDPeX0KqIVbrzzFlfV7nv
YMjTgGxE+Y/cpf/sU15ttZk95tkIAtqbvJA17CO+ILKz84i1rt9SDYpBEttcZtNLbVslxQwaqQML
7wFCbsO1vxlUZmclPH/5QB5mfhY+sfVX6dMcmkz1SZcujAm1AEEw/QbdMFBojKKfy+gzD8TX2Ton
uyhJB9dgReWpkbJhrJtnlG2w0JiArjH6kQG1dIfldmStgODkZ5v0QdZh1alALrhudWYujd/0gboV
N0avLTtqjuwly5tbxHmiDiZhQAcOMAprLyIepGu4D0IIKQrOMxA/Z9UTH6UfDFPn6bPkMHnfNH3g
JMbB8UM05tWp82FR2606THFtP2iABg/eAKB7SjT3Hj7LvGEnkV0kjuyHpKm+yHExzzzE1TovC+1a
57hZhddgxtfsR9YiW0bHP0GLeoHWZSd3dDgKF9u+NljtxyA1Ii1YXDjyaICSRR49N363ivqZzeMQ
zOmCglnX9llEi2ymoFBzFnn2zGyK9/DOay3tZ9WiMah9/DRzvc3Mql5P7aL2nBAbx0HU4/GQhCU0
duKcitwmUj0yeDMj846F/jj67Pb0wtiy+QLgaKtjY0tzb1oE2kegQkhSV5vFA7DE5rNP74UOnGqB
xEQ1nYhVS8ovcKE5fTYbKS6xW4qexrCX6zojrUqQA7I3khwsdmJ2z0uWv8Dl5OU9tN80QPIBCR4q
h1o9Jhy7oMfqafoJVuGJAVG6Gdi3sKl/iEs9WUfw66i/1RMlaLYqdc6JdsjVhiikV7hVPuPZQh2i
XuenMSQ7ceVWt+5CdQrYyGqefJmdYsdxVizQxbOVu/a5UE6xQciQbiffDDN0QDMELLB83orPZr7l
ZRB/qsGtwxJ9rTyJpK3sjWlon4PuuSFzIm9vTmRmewNUSRVxh2GorZ9Uh/0IPRdx9Jnj7izUAVB6
5SzXBoa2y1LLd4KZ1BlGe74tsn4OiyG2jywj+4s1Ebww6hURYFMUNEOaH9sO2eoK+9tPTBoohdpQ
yWnDRP80mzxpfvuoxho5G0uLXdmOJ6GJAFtdsistBB2WXAyK8SrFWahDGRvMnvrHR5rh1tA3+l2P
8ofV+wFD3m5gJWfOsggwsMFzQBHRZ8ajH8uLKJtTaaJ7XWBUbpoyRmBrd04Owk0MYbz4zSnLACrO
PVE+DkqloCO/CeoA+Ck3iepVm3rRru/sZgcZfsP3RfiV+vNLCYhrXYiEcT5XiYSLGFlvBjFzyh60
XnvRZD6z34Iv6jvANyW5hbzqnfsaQ/cRywc7LTbmaVT2Ry3HdooYdMeqbsJ1SEle1wwqrVwntCj3
IIOB9LYn7csy5selGcy1ZPwe5t14ArSvgbxwSDOeF9pDx7N/3obPe7WIn0YmbW9tuKMMc0qFlTKW
ZV9xsc5RNUAuWf0Wf/9Lhv5vAuv/rVr//y0R2P5vBfHrJC1+/lU/f/vP/yWHd91/2AZGoJvanYTJ
f7GLgP/9w7Z99BB4O6x/4n7/QwlvIKD3Idh4GPFdmDa3yEiW7DL5n/+DE/wfAIvQyBvIZDkKdOv/
RgnPX/VXNwhabGarHuNmm0fBtH7zgP7iBkEHZWF8nJajQT4j0xevdosrquQiejarsjaeSVurP/9i
Ffgv1PfGH9p7ndcVZGI8SMLCEQK75t8tKOnkxGUUF95BrO7i1cPr6fJ4/dctiW/iv5b4c4X+7Yv9
+Rm3pOC/fDFSv2yosbl3yFdv70/x6hSt/s6L8ofR6z99jT+MXkAuy5ZJkXfow+vb+ek+C+6X9Q99
9Xdf5U/Ty3/6oNt3/ct3oZsqZmfmg47Y6oKnJODLsD78GzLPnxyrPz/mz8xVgnwNPav5WXKgx029
FSUctSW5FcvYojD2WGXgeztfPMI9WuP8o2R21hGqWIn21bIPeekzzxqC//52+Ztf0rndTX/59vb8
H5d52dzd+evtBZ3T/+NH3JBFf/mIlgn8GBV883L1nqyf5Opirv7u8t6yZP/iXOKONz3LFBgXof0h
e/jDd9XEEVWsL+S2FjbJaowPcLVb1qpl9P43uax/pGD//iiXwSXUNINTxL79KX/5Oo0WmaiDWrnV
yIZ7ih3vUFF47pDz5gcM2nKFIkn/5yvg//i8/XGQIOQxLB3qlkO16HCc3B6Wv3xmTqu95DQYOwaH
qFB1bBsO1prbxLY68B5O/yaG2Przet4+ENvw7a61HUBSf3xJxtGt2ZkmH1hirDE720XB07lr9AIi
GBrSufK8jbYyQ1ObyFYcHadrdr1BEFDuxy0dsFQfTaN3zVoaxrBGCe8FRZpOzGTTaQm0KeJ9Dqhm
1TulfxYRG9+hTOtd3DXelrhMSertKPaICsoj8XstKyRiHa2hBfCIJXc9Cz0hCxX68fy/ODuv5chx
YE2/0GEESdDelmVJLbWZtnPD6GlD70H79PuxdyNWxeIphjrGXIwmGgIIJBKZv7Gz9Fh2mXm6fzLm
LfNyS+lQTQ1yUlM1VYx93EWMKyT+N+h8o60EZBBHhhQoZYHn7CtHMYHtCpgWSIzBlxLLMKdQmUnU
qTqNVqbve9PvTrXS1huj3HxOV1MN23Yt3YA8a826+C/3D88oXudjZpykdOvPpZMrDzxx+39abN69
+xNaGQo0OwwibmWuWXOxbHriZ3ZIjfg0BnYO/UhJPo2ZbI/OZLQfXj+U61gAwFyT699cnApYFE4R
wWWk3BiYR5vS0EGj5XPC3OX/+Sv8rwfwZjMgHsb9rVH4tzTQWosF5CU1lT6IqhP6GjjtOWV/kCkO
ZfcntAwtAhdrmM2kJIKdx1G//kx+00aN7N3Ws31N/42Z6sRTNTUAmmBm2x8nqAz/uE3nphsRet5k
L7c6pi7CUFXTtGfepxCL2al6iFyC0fnnIOCdC8Atrb+mZtInUO+j6Is07fobSrL4yaVaA0zo/qyX
wY3oRipmWIDWha456mLHZJke4tPZpB7OX1WwnwJ42t7QFABLKfKoH3SUx7RXrrRBKJ2PHBmgi+HD
0m3ByQZAu7liAdcpIo+oG3wtLRB5pPgw8RAEg6ZQyI2jsdxEhgmn1saEQiOwzIqb15/XzPwpE8h5
e1mOemuomsUTsPro6f5yLg/gn1FcslihW4bKJK9H0SyN4kFCh6uSTfaoZTy2rBQWH5W6LbnBlQnp
KncEizk7ayyTh6AztXGANOLhsMwzzNaUnT1N3fHVE9KhuhKKeUbbqrPYnXEBlhpCUun1uV6QJDUT
FnMB7s76gWqGZbx97XDc6UibmRomHOYNhRuHen9IdDl4Pb5fCIWI8NFBPW+fwyR5vj/U7fqh9W3y
DOHoWZa9jCrQNWQRmtboqb5fP5s+uDLK8sNGKr02iusg10B1FW6Qql9vCAWtgsDOmtHTqMOfZB/V
nlLl/716KkBCuC7cWd3U+iMe+iJDacBbzNLuvVcWGObESIBgHIvhze/7w9zEClYLfjoS1qQnvO0W
ewFFKQoiWtp7CnvyrQ2j/41OK+EJa9uJmtcw/rg/3iI9ZhfAfOHrqFAloU87y8NkpmXQjsXgodQe
vLcSqRw1ARYEMYbqULl9cpCl1I/QD6yLFFGx8eluz7JtY4MCpWkmeqMqcP3pEuIlwkQd6AQzUo5+
GSmU+yEw7GZFok/3p7qyTXDA4eKGFoTdjbF8B41I0+Sd1nsB9AlkUFLqfXhVRWIj9K7NCe1ijHMo
D0I4X2xH2r4ijoU7esNo5N9ZUbvxHBR5tXPBYMXl/qyWz2H0gw1WzxEgUSG2465zvYQNYEqkTFLF
64JeOCdILJXzDtux4jNoeOV5mvKs+RZnrvOxx/H1Q14XwjlWdPQD1NxSN96IzjPN/vqutUxUZE1d
tZBW5pvOn+HFQQkGK0ZfS1W9gHXoqOOiBn+mhQimWJ9Coz5UcjSbY6ST9ILjI5c7YYiFkrgR65Bm
KdNLIDTQtYZdpsx65AjvKp+1IBrfIdIu4sP99bs5APy66Ljx6tC4pW+WD71k9FhRXfNiDJR+5r6i
guHTW8w6a9187PUgpr2HQ1lr9/ZRV8d+IxovUyJ2CLcvCE3X4utZy4edLdvSNDIkTMaZhKjnrrHX
sCo7iyyrv/qdEb0BGB1tbJqbLcqgVG6E5pqq6hBsrr8RRm1y0JFQ96Io7v5N0CTDXieZXUI7LG+n
/f0lXh1NcwG8MclZU/t6tLJPhrqzzNHDVLO72LHdYI/SVIAZQ13d2H5ry4nHFKFT5+g5y7yHY488
oOTwpVKB9sOTizA9Rq3nFlEP5F4fjoNtB8bGmf+T2lxlmPOKcjtwf2OnpYlFjhdqIpxgxkJRLOCG
VhNaqGddCv8drJPe2MMw8tKRQnJpJ1/UoC/fGoN1DHLE4UVYA9gfuuhJ49mS0jMKpL6RmK2dSdJA
DH1MlcLZclWUyFZSnBdUhIyliQ1tM36kBK+goyZnfgH6rR/uf/K1z+BSFKRsbPIp7MVy+Da0MBUj
B89MLeyks9yFz9AUn0oDlZi2Fsa56C3l8S8GJRBS3AS1S75xvc/UVKBOE+qTV6U9qIgcsAVoJb36
R4/q8EMoVJo/MZwMe+Pjr+xvihdiVmwiWvGevh53qMBAgmNSPaTWYL0lQGIUlMg656fFx/3y6kmi
FEGiYxkYgDpicWErg0uvz7ZHJA1UhV0kcWA0I6t9pvWYH/k9sCQs2+a1idx8j5Exzuo/yOa4i7vT
6kSRitqaYNnTcNjVGny3vdrjuXi8P72bS/rPQETjeSEdrtDrtXSw4xE0V2G+xDSleVAlXjqo7cYX
WxuFTrXLpHSuzGUJWYVvNNCH0Tw51UV3QLsJG3PNNrNsY6ClnBe3MwIxOuU0NEdmQZtFpM2t1FX8
BIRmVasqmFoE5qtDCXUOZ+pgXj4ETrKPDaZxDkIIMkK/odYbnCxDvEf2sk9Ve6eWkFi8yInMeuPX
W1sHMnTbJjRTELPmuPHirgbNkpdRVmpenDqlC78C3RWE3kL4+vc/69oReTnQ4rPyVoUUhP+eZ0Jb
wZA9rxR1Vw5V+kGrK2Bm90e7ee4T4oC70NZ1eLZR3rqeVlVJ4IsJXVtTgTcZzFxD9Pl0cB5DBmmq
sd9GtV4f3Gz2lLk/9Eo6AZuApi18A7TRlvcA2noJYGxiwZi5+UeUt6W6B50yfOBeAGKfSld9E2BW
94CQUbkfO3RoN36DlW/K8465W8jboZ6w+Ka2XrSVazVQxLM4RWlSbZoeBliDYsb9qa4MxM7m/clb
HM/JZZ0YvV5M5BOJYADkzkOalrOblcxef3XxQiFD4m5F08laJA+4Ava4WQG2B+phUbvP+sE9oJSd
/SAQhehJA6z+en9iK5sVyAs4Ok6GQQNtMaSeFCE+8qntFfTOD3VgN5BDEHPiCehvvH9WLmaXW5JQ
N+fMVDCvdyqZkYOkjoazQiblv1kS5O+E6yvdwa0yVJFqUEDtRu637AfNIQnzMjYo0FXKssu6r4k+
6wgn3/AyfarsE4oWGMmGVZa8q7Wwepz6vPwQVEH725AwE0D0Rdp72spWcbi/zJq1soN4TVNuJE/Q
WOlFcKQIb2ZAmy2vk62L7PNANnKCR1e9V0AiWs+aWov87JilBMXfunWNfoxu/pBosqknPZFWzAnK
O/OIDVTyOQ7Cqjg03CDFBZo2VscyrUMHyoSQn5FXrtt9FPl6dAg6A51PFEb9fwrQRV80Jcqesdts
qq9iwogKYKc2vM0su0clpxFwPDoKW9YZ5p6POnkaC+Q+dAX0SJhU0tlPRm1AnetGG8ysk2k/67qT
v0lAq+JNqJtgS9JeTz5X0KaxpMukjWpW2hQfzBaQMcrHijrtygbI7LHQpfGjc50eJJLq40Rc5RpL
0o+K+7VFkHzYm8aQ1IfE7BTnNHAyehxD4gFp0ET4b+kPdcWHWDimf7AF3OSdQg3OPOFUDsvO4BGo
7bLK0f3jlBvDv5oMFYk6eFs/dT3g9R08H3whSxJ0EAqa8r1BWcW5IBbQj4faNcfPEhGij9jaw9sW
oNQ/iihWfo2g+344jTTwgehE/96CMo3J8RCXQOF93R0PfsLLjjR8MMV7OMR1cOhG3X9fIyw6Aj+Q
7juJR8ps3zEjAnM52Lsu9svn2QfT9phT96loW9N/a7UBt4dpxWp1TNEre8a4owSeRz1r2NfIPNZH
ZO6zf3uI5+IsGif9NPS4Axz9qm9/Gmo3BnCJAqg4qLrgc2/6qvnDCTAo34mqzPPHMJNqvrenAWX/
oMDdmtuw1cHVtvxCpyYLHIQuc16l79WpBymW5RUITqsbwI84qVDB/GXx2O2lrvbI0IoOtiZCqboH
SLJQz4PuFvhDo5csDkHVq8luAPb7o4B35u4STesRkrTrLntwlDL9PmTt8IMUcrqMiHVAzdF0lCBM
varFaZYI/S9w1OI/Q8hMOxV1m4JA8lUlRybUUb4qgWqBZW/S+n1JGkEW0WLgmrDPgqOjyh4wsCJ6
2G4qwjMHGKC4dwZckr//B32LfmjiCqFLpZn/aMw5UEUd8RvayApW7ulZsM/UbF6iYFDnn79IP2JR
upXio8pu9AKWSq2mVXJMhiH8Wgdo8mMxi74SCE341D4CX1tP/7XwY3JBGtTbACsu2yuZUPy8V0vd
k4TJ55qOxSFL8cq7H+bmEL54GfLqnefH85A2zmKSw9hKUYhM9/RG6QD7kR9w8ztqm2GRyg2aQodK
7f9Ce2yK3/eHXrtduJ7pi6F4Md+i1+tr4L82pwr416RxlaEaYo7nRqjTB7N0kGhF1un+eLdTxQKU
TiJ1H16b+vJm8SG5gULvTW/yM4k0c6eAwHIrLAPAKk1QB5TGnIZTOCmkv/eHvt1KtkENRXeoIdIv
W97ZNJ00OIdDfCnHAE+CQtrivyDCkAYkZe9UqO/beXtscbnGjCQM3a2350oZjsItrbr50cLbbPlw
ASGJro0VZxcLbeEAzR9kCPZ5hM4c1Fzy7KPkSQfXQYka4dEHKJVTh7QFyOlGlZ8MFbLixpLcpjG0
8qhpgRYgBWYbXH/9RIkqEP7IR1R1Qx8aqXb3cWw086GrI+f7/eW/3WmMxVnG+AIwHU+d67FKGI95
gZzJJcfx8RgiWnF0NL19Co3ePZkObsn3x7vdabxZgAyw5FSuDVtcj9fBwXAilA88J4qTM4ggZ/ba
yp6w59HOMAm13aiKZuMkryzoXCCEMsAcgWMsBhXqADbDFK5H5E6fucgb2LIWCMoWw8b787sNTQj8
EjDYE5Z62zipg9CyJXQIrzBLHavYNnmQQOxP90dZ+Wo2zRlXp1xLJ3uZf2n+xGOhbAHlqKABoRAr
/zRh3x2jXu05pVq4UUXQdT7LdSwkk6efRm+Qo0I1/vqzxcjn9QOvNmrDepFS+nIIf9QzRPU49JV4
X1Q5zJ0ezkIG/RCqwhmGRPi26Wv7XaQYqGg6SOPh3+rXykdMt5sALrHI0qdYN3LQqAiWteemNOX7
WJWd/2zjJfdN+qP7aQpIhTaWb2U/AATgtUfrzjG1ZTc7GnVSSwzQvUHVB+RjNL8Kj8JlA+3GwIQ6
eP9rrQ43QxxchpxLedeLpzSOW04gf7yyap0RoiaOXkeqxvVHwOaF8upnJHCcuSGp6Zo+x9Xr0Sok
sBQbwocnM2jNuNBb31orqzewRiv7nFEMrgq84mzuqutR3JoR0nT0vcJSgM4riYjbT+pgac7GQCv3
A0ZYOt1V7ok5IF4PlNhGV1lG6XuTHaHLRrqsk/3BdKubNjPR/8F+CL5H+CYCDrtVFFj7cnM5gOcr
216d8Zgv85yUerHSNbrvqYqMPpIRSf1rEov8k64AEP74+m1CaZBHHm9YAGOL4kfQOHiCDJ3iKbVU
dl0VuzGc10q9dJobbZyAlQDCxqe+C7CCLOMGdjMg4GugV+cFeKKhYyFxZwj0/oRm9H+QUbuNqLgS
9WlWgPukkkbDd9lORtFTDi6OOB6t8fCtrlb1wZoQ/GuSFBp72SmXGkLlxs6ZP84iZjEop9acyznq
8mqTXSgH7m4FbZXMUtH1wFRhn1RaYx5bq0EA0UJkGJu0KO+/KzoW53rTjMarS9s2hRbQf8ya2tKy
jIghkoXJeat4FC4zzUMXDmBYF5joh6I5NKqHyQ2CBk1XFI7vb6e1E2qDM/6/1SSwM9d7l6MYdm2T
KV5aTdZjhjrBPuA5uzG/tVEczib9L9JVSqbXozRKOZm1U/BlE5x9dljozhpyrdvYGwOt7VjnT4JG
65sGxWI6VucaSPWHTMemmhS7EluTqPtpBNRc6yDbAt+unXyOhTlnRfSel8NJN4rTUjguiJgGeWj0
QGk/SdS14u4vDgc99Ln3CiyNrbII2I4JDlVvU5SBEwk8rHXi9r0aZgZIxgxKD85uJdOLK9d9fRAg
nqK7Tu5rg8FYDDwVbH05MccWcWKPsiw8Ym2yPiHwST0EaY3j/R25sqasJfetTY8A597FXjFTiurz
YxJXCROekA8BCidvQfGxaV5/CdJkIYyqIOwpci4CN638XCD953plbEbPqZ6HD63VxefXT4gUjMIc
0EX2/mJCAdCAviCT93AUHx6dJpZHmNzBLzfAsu/+ULNA/jKacTe4EAoIaQ475fqg6WlZa30au17s
NmimUl85oTUMh6VWLbifPvzfVGJynwYtKD3Uwnel5Tpf8O0KzohjOxv1z5Vr2eWtSECbT//Nsy2l
sJHVw3z/oyhFo9ApynOBEC4qAmjjRkqQHqPaIuPjQqs21mJtH6GYyqGcz8tNqzgCPma3GWPTa4Gs
1lsDcCgnN0DlWsowdBt7aXU43qiEHQL4zWM8EnALc2GSLSpueQmtQTgHtkT/ri9HONr3v/NKmHNN
h6yef+OSvkx34Ga5PfoKLukOUGptGFCTEbrY+YAvIMap7sZ4K0VlMlM6g4CUdf5a5sKYTfWQk6Tr
Nekkp10mddQS0N0wUL301Vo5WYUfxI+U+ZvkjJ9jB5M9F1FFPRThwY0D9eexvbiz+VWoRQh2FZfK
4kTFvdEYsWNAwIp7pPxcijAV0txZEb6ti5pya5jGqPb4k4JEI25/yWMHHfQXonLtVwShMQ+s2hSB
TmdAJ5J7Qcuysypb+2GkrI53q49i4UZUW/tic3bxpzQ/dyavD2buR8GgTqHvQYSufyFOF31Tk6T4
Bl4uHQ953KFhdX+P3J49nmJ0ysmKXZ60y1Bgc87NEP44oICpr84GnOpvOPQg5wW6IpXHBuHZ5AAo
x/hnahAV29gyt1e+o872QVwd6vzOXVwbrdkk7uQnDnmVqN39EKAffEoGAH4b99P6QAZgR2A2BJvF
QCHI31YGju1VQeCgXZrml1Yaw8Z0bo830+GWALBGsYU9d/39mjSo0UNrGCUJ05M2dcYhq/PwBC5x
2NjeqxPiCQT5CTgiwMfrocKxaENwyraX+oBoXPgBXql37f7+9lidEGkEhUOqOmRl16MAslWnZrRs
L8Tq7tC4WrWvOxURawxE/2bteEpTjMRW5QYAq4vAjLAwodRPqNhjUzAeS3T99tNYaH8zKwckDLc5
199y0+fY4HEZqbY3hcMXDbAQQOy+ga5f9htX2+2BnhFWtgqZBfgHFcHr9YtMUIaTNdgAuwp5ibQc
gy4MAfeDm+twnYT56gDCnHgcAYAVwMmWtRUUdfUcdJHj5YhPPBQquqVVOjXHXDQdXE4sp+7vj5X5
sdsFh8rR+XvJg8iTPCRxQOKRtpf6rqXV/Z53Gz4WftaZPzBMjvWNl9jKjoQDAXgTwN7MUlocsaCX
ddIqpeOFSjvuItxwd3Tw7cOIKN9GbFwbig9HckCqiV3nYvPbspDgx4TjTfnkPISmbA60gIZDbuTd
xlArp5mqIQd5ToHmFPB6nyRuJSzJpeOJjiqtrBukdJCq2dj3a1/rxSh/7u8XrRYBpbfEvd7xOBqA
L5EGp+c3dh9HHC68IbOsv9iNbHoq4jahnaTnelaYu2sj3Vy+VTEhR5IX7vvRGkYkFYv8ZBix+voa
i0N5BX6Hy8agnLQIiorT2dT4CsezEWE+2g2yLBaAPLpcwxabZP4i19kFRWC4r3MbnSqwuxiqNeOG
hCBnLWsVSjVeFofEYEcm2YSEXS9Ur8T8Y1fBVEAtoNZ/3j94Kzk84wNPoAoCuI5+y/XaymJKQmGx
tr0dwy+P0Nf/hTJdixVN5NgIRulWU7wb8aTtzw52OBUJkGj+ySy9eSgpkdFt7sM429jHK+kEsQCE
JzwXMFXLnCuvx7itB2FTdzJHdH2sQnuKa9/+3rZV0+9pO7toM4uu/a1VJi3g+4uydorockF0ocQG
k3Cx37IZGl25JLxWrcz6aIhSQyNWLvdHWQsLbC4BbgxqJH/A9cqHgW0MkULbwU6q8blGcfYYd6Nz
cIbyx/2RVhLqmZzNTfWHscR74XooyZGaKPA4HpCH7m2fA9bYa/Q5rP2Qp9Y3I8cocYesSn9RVR7b
rtbT7ZXKVhNpZV2hSDrO3NPjQXGTpSGpCcFmdL3cDRGhTspu1435q6H5FpPlMqFb5YIuXEb2GqMV
va81JPfzOPL/VEdAYY+OTDcurXnVFkd3BqZDsaDLMJebrlcV3foZV4F9EiSDwj+k6MxXyPnXuKCl
vhU9IKNYPQlN4k1z/3uuxF+d1z2zg8d52/kYazrveZGyP9NEeyNZbfxrwuDJwEl0n+OVfL4/3ur+
mfGGQPtYVfrO1zO1C50cMdGokhii+5Y4fvlkNaFDj4TeQdj7w9GMyFGhu7rnJomzU6/Jrc2zNmna
B+wf5AEMfVk+GQw5TU1EF6tFOeMbioiNe7bsLMYcJheGOPIfELm7P/GVI0oKjlwCDXfu1eXFQ9mj
F9hS0xmUdruvJ0TRROGWp7gei78YirEo3cxhmCz5eomFiZ5fa4bccQAZPuElYPxqCM7mLszMoNrY
uSvhFazq/x9sPqgvLnBV7YfcHHnFWG2oGnuFLPxbO2FwNAAfQ/IJsdx3gD0ce1eAEB68+6u6FgZ4
bsyNfXyX1GU00md5L3dUHE/R++I5MpL+DUwBfSNlXvt2vKHmQKPPRZn55y/nmJBPlO1IeB3N+mgI
PFvw6DGOYVX6G8u5NiEqpbSQAYresmYwTp8mNSXr8tsYXwzUxQ5OjjH365cNCOb8up4buTegABnD
sUOEzAvTLDxPSVYcpqgqN/bhCuUGb0vagqTF6gy6X2xECthDOVmZ5RVVWsK105oPIy6xiB8b1PSM
BFU6fwzPJeI9hwb97R3K2igIuz1NS2NWV1J6jKnsqn7OYiR9/Sk2N77sWtylTkjfl5cX2iOL39Dv
5lQxhPbqxnq7R9sK0fcDxtyhehzwm91Y9tXg93K4xWGBS5lFWPdYXom23ndfGuInR7XLTm1R99Y+
q43EQ0Sw+AhRAH8EwDOdcXT9CUOj+xtgbUfDLiKYzU1isqLrHV0YOjofVmd5Sh/Lr26oRXvwW8Hb
xMzDjV2wtqMdklLaVHBRQGJcD8WXD63cwb+rVxWxB1UyIeML5vH+hNZCOoV+l0IVBfibNBsYdR85
hBkvDEcbNVZHPwjAWpQ5ivxdhZ3UxgKubBzBBrDRarCpwC9xPZDeSlm6vkVaP7WPPorPx3rKlGdW
YNgPpomDAripjaVc+Wq0vgWpNSUdamSLFqqeuH7gKAwqZOrvkrzUD32vmJ7emtEGiHplPeEgAJyZ
eycc3uVODSc0z6uQr4ZJz97ScMnp0L8/o56d7CHxycP977c6tRfjzT9/EWIxYZjiDstpD3+UaF9H
uv5sF83AC6GKN+6M1aHoZghqR6zlcu+Xg5224G0tLyvRtwqAvL7t8bn+VFj+xqTWFpHLfmbnghIn
O7+eFMbjTQWwK7j0OKju/KivjnXjyMcJSbN9DPx6I7maT+0iixTAV2BdIv8w00mvx+uiTBGTkMFF
1LadXqTf5bg8aVqxR8q4/9exBjc9zvoR+FjGQn+USRdf7n/HldNOaQN0Br0pEtpldQ4lR5X71wku
bdloR7Pk8ccdVG2c9pWkg9AFGxmBkBkLstgtpp5GaVWJgCRDlm/QCemeLGeyn+zasvAowpz4wApJ
VFKlG3y4P8OloBC9D7p49GhVICgmJbn5q7/YqpL3fKYMeXgJ7QIHhWEEd003CBPSN23TAzFGg5f6
4FDymkQtpgn9BzPt6HR2SlYWB91vjXM9YPJzmvUe8Bl0YhvrXsVxkoPplDVKDBgs6Ej7GtUWhWBt
4Uw4Nazd/M+yftSCIhclTpdeQBkX0x9dsU9+G4bv0miSD64KWMlJGvVoj5lzvL9ua8eOS4BO0wzs
uukm+nbhYwo9KJ6aqf3BbSf97GfowyXF0G9swrVzAHxnVmIgi7p9Y3Do1CyfULZrw8Q9VyA+pj1I
51T+a/lC/9fphPZtUPDw2EWh4bxJNF5AG/zZtemiQqbP7zmaPctOl8CDrkZmNrw4GgLtrlP7WA8G
Pxr0JTeizMpVZFA1pvg4N7mRmbnej3ESB6oxRgBr3LLFKTBCBXCPtVKNe2EGOHLXWa7sjxFQ83jj
HK4EOOo9PKCobtCtWQYcHQFAIbpG8QT16/Yp6xyMo1Hu5s1f8LMPjRG21cbNtLKwaDLPgCX6+gh6
LGodQxjppRsnigdG+lNayfyTmmafMul0G19wbV1ZTRJAsERIAcw/f3HOU9tsFU0v8DhOa4TNVSXj
NQOX86Hq7Q5Ff6AFGFzZRbb1Jl+bIWxGngF8TjoPi2tjVDXZYmJC8zmVoXNISiVXcZnQYrGzh3ra
SIFXQgJYQb6e4NogLCzW026VlKuEdnM9lHpwdqUNHdUZO0d6BULUBcpejvUrtPH1ypWgGTe20Orw
VLTV+V0MJXGxe5F5DjmuaFKSaimfNKyrsXmwG0TfG9KM4U0Lk7fw8BctcD+f+k75fD8srcSKWQGH
6j09d87QYvrIHBXaWMfhJc46u/sJn0KGDwX7rztMeg/xoXTsGFlZeza6b0H+lzvNbcq/KOzPcH+Y
XZZKo255iAHCYXlfAmfCxDJ4TJ023jlpC1XIDrKNA7TCCXcMh4bwTHFgZy+fswUOscmk2IpXVxZe
yG6JROoJ+RJkartRGCjUFyUExFZp0EYILTVrvrhZEA97VQ8wdKm6rI7PuJ3hLDFgJPHYYxj+PLT0
dza25tpB4MsQ2rhwb18pmJaVqosEO2jqvjUR4UuCf5Wuq429nyCIv/E6WwtmbEJazwRTPsbi2GWJ
j4ZWAkAxzC0eRmZVmDvDCSdxCUQZfI84P+Pp/uZbyZa4EQGL67w9qQktQgw5DnoHSH1cjBGb3aa0
i9PU4xpwfxR9/s0XeSGJCrbxLoCvuQx+HckSZ4qGwjHJWGoZZj+rINHQ/zc13OJqHV36XST0wH0Y
UfwezliJTMqlaHsTdgvgrfiCpVGKQ7JhhBim1KLuH5Gsb5/DPrLkXoquNPfYmNsjRA6rHR/02C7r
DxGvdeuXQhaGr3tWDmQ1UCC2dFpW6A0wPDk0oHTpBt8c397QhgSAa3RR3FS4F82acPxRZqgLqsij
Gzy1MWZSWLKhqLJvp4YVzkyj0U9CKOlz6SZQ3+6v9to3pVbEWUYalWfavKlfXBv4PTVqL6zootl+
eYkqq8S0Czjf/VFWjgZ5DfhkMOv0spaFi6rSna62nOiS2Wb8oJIOv0vkVOIziFXG/aFWJwS8gb8t
AsbyOpqyuI7qiSXWgwDBdoAXew364cayrdy285/NMYcuQ4a42KOpWiUqVcvoIltw3Ypd44He14AJ
ihK+WGno8inQwvL8N3NjEdHR4r27fAumUyfySnIA9UALsp07GvgBFejZb6zhyi0H+WbmFqA6AaVh
/vmLTeH3TlNYQRpfEiyMjANzpEgZ2bpAUDrJfTybfCcqn6n6d59QXYlfD4jmvcMETTj1yE4tA01Q
TeVgJOi1GGPNs8zVjT3y7eVzXqu+l0sZevfXdSWWMlW0hiCJUBxZ3upoPgQlldTwgjl5fJqABXvG
VIpDNIbjF3WIt4QTVsajnonkMCADGrvLCAeqy4aEgKd4ljTlMQ1jE0eQKD+j3DR4apX/xc2ErjB0
Xgd86W1bzxZYrdK6CHCixZh0wufzNBLKT9BHt8gpKyedobgBDQAGaNctriVCd9yHVRJcGityAcpZ
+mOlltoF17/6cv+rrQ5FuZatOgNRlkkIaqoaNve8DrsetukUN+mjXwXOg5K1/QblZuW4o7lJTXDW
HaQpu7j5pkLL+q5NwsuEBnD+iH2lwBGJB6E4lNUEw3gM4xj3pwxrmy/3Z7mCwqPLBq6Mpiw5383m
1MykwnxcC3BAQuvpDIgEIufguMXPJpT6YzKQeJ7aqfLFgab5iBAw2DfrZFtRiFN93OLHoIjS+NI1
Mwe7alv7TWvxH45YEuANpJpG+Pn+r7z2YYDYaxC8qD5QAbwOHwncJFAt3exfYeIXD3EPcww8wXn5
bEkLrtWoKXCgkzW38G/ZQ4oBHIKmrjvDmPXnqK4MEuGiP3Z6gD9NFYbHPmuGI0Zb0aGqQ3VfyWhL
HHklXKJ+Qtec1I8bYRmumsbpMT+v575r2f0uiqF7QCPDOPiIme5HI+o/OGaGfXXVbeyNlbuO1x71
CTCjPPmWbeUpxEwoGmj4Jp0vPaRBrHf20G+pjqwhJchYcGE0kDu/pUwNY9mKQYWxR7qd5JDsFcPH
Z0K24UnPRP0NGEz8RWLR/cWUHf+DEYc5b82wKIqTMoWJdbbl5IYb2ehKEKVoBwVdQ0+H9Z+fSi8u
qVRLm5DOPVjZuk6eIjuYfltuMCGJNOLqNPrl1/u7euUrA0NjofnC6Dnf4AV7O0D6hV5XX9N3ca3f
2BW+DWvrqQqsL7Umvhc5cJX7Y67EnZl4anMPgwm+ee02PaSAOhkAIGOw+K3xs3GvOggJ4rRFmXYq
f6qJZWzEupXTy9HlYcHBnSl5i3W1RBZKUl/IFm78jUqT3DcITyGoM9WH+7Ob/6RFok8qOIO5aW7T
KlgkUVZtWghFGzS2I6OL9orUkV1qrLjEy7DitO0KS5rdoQi16r+gnhp/72a18no4HHk4q8snpX22
DFZFjUloVFFQ0EpFz3Z2olrPjY3fyb6zZFW8PhGm+czLhjHhei0TYbMZgLQaFEswhMAezCyCz7UZ
xvtIdNXfTOzFUHPweHE+ukjpgiHrfC9q4vxctco3Ucb9adQwQLn/HddOIgUdyHKIH8FxXNyOGdoQ
euy3cGayQbmUeqi+mWqCA84+cu8MjXG+P97aDoVMSSxyZ5jrMl0rhaCYlla+J1ScP3YIPKvtUW9k
9ktok76F0Fw7g7yNZpkXetw3vbMoVyu1kRZcD8tssBkZoix+dsGKJAd9HEsKLLGu4V4C+narJb02
UdJwwMkE+bkdef0JXTFYfYhqiTc5MaaaLMhzXmTqXmA2dHz9mlLBo61sA/K6wWQpQ2SNTgjvqSow
cGzps+4bI1A9rXW2KsBrswIfTIUEXChopcWxxyZOLQGo215S9Om7TNUw9StHe99NGNRuBNC1EEPi
RFtwbrfeZNq97ebJpNIYLI3WflehmHBpfUN9DzQf0QBN9s0Tz6wGj7Gm/9bTmtl6X6/dGmApzVn4
eE7iFrkQfunK1GcmD8PQ99WLXuH9cpoom/xS08D/jR9w1xyCPhVfyBbSLTzf2lK7f3QrKOzzGyw3
ED082g6u7dnZmL2VmTWcSqfBFQAM+ZfXbyDKj8B44DiCwJ1/lRfhBjP3EM/ZwPGKtvNPdSymQ9VF
yYPa6H+B0YZLSf2egfimy5At9JG3lcJQjetMb0pLoBQDyG0fVvGAAWS9tWFXNhGLN4NpwIHdNkcC
M87baHIcb0b/NmC/zOlTBYqxphJVBN9GM+H2qnM0lXhEFA+j3kS/7i/uSqIHKIErmSg7M58WRwZL
93oSBcAhvcR2vW7wWurQzz/eH2Vlt9ArpE8JwgK607LdhhmzTPUQuHY7OPaprzBwdXJ9OMc1pqX3
h/qTmi7uftJ2tMGgD6xIT4SZ0xZmi8cdZsDYWJv4oot8J+lt/IdoWO9+0crUxwuibdP6V6BI8800
GNGzVvqi/DwZiPEcja60++cevaLh1MtqTD8rfWfXl0SOtoagUxFkT5kWZv8UJX2XHYSg6dnqmha7
qb5Opjddqan/0ACW9VFBOrw9T6M//nTjEp2NyG90cdL7ETtUMKG4j40yxIQ2xUJgLjtrSDlBMQ4f
xt7f1W7qftXsfhzeI8yHkyum6obm5VGT/qNNDZ4VDaTx7qA3bvG7MdoUkHPZlHIfZ7mOxp0Vye9K
Uek+KmktW8mpmvCDlTjjsCutxMgvqewq/Fhto4zA/Lm4ZahtLAEgqbTJsGEu8cl1Ssd4jt0xTr6g
kSfUjb2xcsfD7eOxzSlgAy6P94i5bdzOZ46qlrLH96q8KCJGCCs3p0un59brEyXGm4FOiBrdqoRE
pKC+2UNPNfFwfV/g7/EgS4BXnepunK21XU8MhEKFkQfqBvPPXwQu2aHwgtJscAlNIylOOD8Gwf7/
cHZeO3IjSdu+IgL05pQsx+6WaUktd0KMpFn6pLdX/z3s/0TF4l9ED1aYBXYWymK6iIx4jZKGdnNS
40TsIRA30gki32LfAG2LZuv6KFeAHXg7S5cOYNCJ8Bh+MaaxcRPkmw+JruN8qenDznHb/Eb+1kVM
FmzT+mRXZo0jjAz7XvRD47N4wXs0tMwPEJ3b4/2TvXVZwj9HIBdNKBp1q4DXWKM+DU1NXwLASk9H
SA0pWhh1bKLas1gaahmW5F6cyfoDdCvE2HDb1KrL/V+x9cHgjpaWK5Tjm7gPNT2HKEG1EI/b8AW0
rPD0uba/5pLa7OzU1yC6vsrYpdTOQcyCTV59cR7Xltairn2pSQSnz50jip/0Q63SLbNYj05ZNg/T
qVMDkT3OsYSjYEsDDZvP1Pyeosf/Ps9Kp/W1zJDEAdE0k+6tAaIJCpKkJ89xaC7WpqOBlbEUdfVL
lYnU9oamlVEfa1Mp9wS9kX/AbiRfSVWxwYaMrTzgc5ThNIzAyWMdBviIv3mGF7F5Z7GqAJa53scj
NTlJMVUJ1Zv8Ba9351xOJhLM8qjtrOVG8Fs0OBgHqW1C8HKirg5oojoINnBi0jZD3T7n7i3KeGcZ
typJlJppNdKY4TZYP82KstSdOtdZxlgfn6pCQxbDWLS8HYUpToSu/yrh4h9HM/0+9FGMYJHy7/05
3bhk+QlUkQDtbqjFKB2FTOFIHFPUAC6SnmaDW8TlfAQopJyUVIQ7oIGNY8K1R4GfYK8v6OvrqW1m
Mx2yBuWRFHg7zvJ95umOFJ87idh7/9s2V5EcmGvvtU62OiXVPGqJ0WnSxcDw54K613QZnNrYATpu
jcLDegF0Laqq66JQLCpcYoZAujShPmHTsri/t2B473/L5l5ZQHIIqVJSv3kTFrYU2+NEAV8OMHt0
oMRexKjpH3qTyrfhjPP/6FnLpqv3jvmk5cYcHUCAmc/3f8ZGKEFQBVNu/iw1jFUoGZ0hx10opqyf
jtFlgmWKUWedHElNUX52xu5M23BP7m9r0AWrBPwAbDlsjOstU9GZyvVwoMsdhWivy1LwoCmNeJeh
4ol5gqg+qV3V7lQYNoIKqjFsUC6CxdRjdQXUTRWb44iwSRjF5VcFcdJj2FaAFGctPoxSnT+OENW9
aCRyKuK/MDAWvAmmWDxwbqs2MhpVizYb55Im5zvRluKgOOW/gU2lcSHdvvmoUNcA3AEOHSbeTfsr
UVqlVPElvkSzpX6xtCla6K7Tztm/eZkuLAigWPoCdObPcpT+ulYntWqrlq7GBXtk+7nu6/JD56jN
ocs6632VaxYkvBJQIvilNz80GBpSyaLlSDmZnP56aOzSggQ/h+4y9lEnu7MZVT+bYJ6x9RVGsEeR
vz2ti3Q4j29aUrRraUtcDxdOtj5DssUNpiePRpSgkDKUOJM5/NDjY24elJJCqDeLEtPhioeH6mbq
IMipDSNJdvAsG9POA9mhZ8npWYR6rn9MkrSmHCai59sF0rIpwP38GDIb35Kqs7/bctXpp7DRrIGm
ksFj4v6dsTE8FeUlwJAeEU1X13A3R1o/0OG/kLZoXtFSWHLb2Wxckcb9UyNAdZZZZj2oXf7t7SND
dF5elsTym2aFg2MSRZZ6IAAENRolZfYoCx1HeD0Xw1mZQ/uxrqvuALQ68O8P/eqWcpWiofcEtpGE
mxYR6cpqB6BQhgeIYwyXZLb6h7Ru9fQwiUA9qH00n0d8wZ/KpNN+OFPX0zWKm1Mia4Fbmc289DBr
FzW86HcXiD3Vn5vbdBGiIuDzD5BDprZkBH8dwkKDGB0lan/pBsn8agsksEQ5W2c4CPOX2om0lw6L
6pf703GTZlB8MyhmwDjn4UNAvh60BFwTGo3aXcqslOUj8pbZpbGi+MPgFFJ9gqyo71nW3cTlpd6n
I3BGx2bh8693PXruahKW/cURvHsNNZ6OMmXw4/0P2xwF7BBiGASLG6hY29S6CIKmv9R1Z/xC77/8
QHlB+w+j8EYjCoEXWHok19NX6Zkt6piiRT3YBmLNY4Elj7PXKdj6Fhr2lgxKFvmINeytmQy9nPqh
v+itNHllPUU4p0W7Gi/LVbs6GfSzsa4C0KWQy68ywLKiUmGiNXDRB8s+d2oR1gcRmMrHJKyM+FAC
jscPvRHG+zkuio/4fBb2AfUrbBWmMrP3Qt/N1oS9AY4EFXMSGjoKy/X193mw4PBbSjUv4gSp6mqC
qgsC5HIRuaZTqBKN73H688Zds4xJeQ3nOGieN022tiyivgEAdpFITz92etu8z8tg2Nk1m18GWRYm
DHGdgHT9ZVhQGgZ6qzMpDLK9hY59Y9LF1Sfat+pZiSNnj8p/c9PTD+eo0VcjSSNrWp3ycESDm1Wf
LnOmJ0cHONuTJerk86hFpTsqoXVWlaK6hG0cvrWDuIxML4H/EGOoJV9/qhnTDAIFIl8kqSpPeq7F
z/pEL8F0pHbvYln+rqv9u4xFPGP1FlDs+nFoa3A121KaL0Cb9WMdONNTW5vR56HW8WO/v1FuEwkG
Q/UOnhHJLxnM6rYe6RAiO4c1zpBJ1TdtUKNH8lE7PuVD3Ttur6NB5raN0f4eQkd/b/fO+CFJqAju
5BA3dwNtmkXti7sBOhctm+sJtsO27LE9mS9qpYqPkDXaE0gwtKLvf+/WMAvZ0FFV/glz5XqYPm8L
I7HYsmywIHHDCuULz1HCce/tvTfQKjqkippLVabNFyWX9Mek7qtjnmZvRl0xa399zivu9K+7BX9R
8sNkmi+QjRs3Ev38XOrJ70Cd+wP68+NOpnUT2pfh8M9aOD8Lq3T56L+Gq2ekHiNkIi7oYc3HAsMU
P9b18Twkc+WKRQNoyCkK/4cl+2vQ1UwKMSnGrPfzxTZG5YzyUP4QVoO6s/9uD51CgYRztxSE2YSr
qyXFWkc3Z84BHtfTx0idqmNrJbgyQ3XYGep2a5CwI9EBFRMZmRsxdElKorbRe+0ipDQ66BEIHr1r
9qhvtx+0jLIcaSrOcIxXN9ZSsQRziFY/TtWVp07Z4A3aWH6OO6rv91foNg4AWGFjwCAAOnrzlE10
NQvSWNYuE9Rp18bV+TjNjX1s8zw+DKBxv90f73YbLhaYJN4LZwJGk3q9DVt2dwbZHZ8SJ+vPmIlV
P4siQbs3LMP4mGTYcLtAWeWdQszWjC59AhQBWT3qS9fDFlCELXQi9AtAzugAUq/3MoVmeSFp8s6e
35pRajELnIJpBYJ1PZTgJVfJ2JRdqiyt/Kjt0pewMuenGfeSf52Jku3OvbgcouuYA9aMpIloQOS5
kVs2EM+Nywj254Al2j9ow1vVA2RvCAlamRcoIuNRYJyzOsebj0q/L3S1+H1/VTemd+nnkiWRTpDp
riJRoA5NVsYCAa4AN93OsTB+TAPlaNvJm3XS6IlwOti0ZIe3jd1piuhShdDikSiNzpDizMPM3Bzv
f9DGIkKN4VAAUKWWvsaNQgE18p5rlGylsmjNGUhplEZ3gDhanvHVwNH0/oCri4VOLIEN7RJyTJA/
FECud40FCkDQYcp8Kiv2kxEgV93q0d77bmMUKNBEFhAkAIzXr/2s7rAwbbIMvk4q3mNBWR/mwt4j
ea7O+PItKtZ5lHFUeJ43zTlLr9K0BPrp64ro3KxLlSOiFr+sXplLV5/QnnFDkBA7M7g6Bq+jAojh
UUcNmT7uKqPt2laBZVFn/mDE4gu+NM1DH2Daiu5wUjhukVYLjbiLQY0juaN9TG36af/lN8CKZm8u
HIY19FLS9GkkqGY+6s32J0Mj4cLlynKrMEg8M57rd5LkVK45Jfn3TK/Ll/ubaGvieevQzuMxzXtz
+fd/xfgyo/XbF3Xh02ZG4XIatB+BZVYu+VnrqZIq3kEO49Z786galHrkA+jTo8Kz2rrzUI+NM1WF
P0M2ew5bWT1X5th8beTRfpeU6b8xGIzv98fc2MjsLzr2Fk2u2+qNUoisnete+E5RaR+qQqrcSJKz
y/1RNrYU8AMCsEqtBsT9qk6DUhMAuUoSPsq79k+7SpL0OFRDWl7IbFC7ytVQFLgahYnppoWDvEnZ
BHX8fP9XLPP31/2+bGxwbJT2yfRpY61bW0NrO51iZIW/FBO+B3r/exKT4Upxp365P9LWrL6CDskQ
ucjXUTJSyhm3wrzwqyBoT04WGqdZG9Pz/VE2v4c77jVUUFpeZv2vXRo1cVTr9Sz8JuHpSQuydgst
sHipSG+EO71OHc4elBQg+ixu2NdDNYZRJAIXNN+yRvXroGUwQjuJs/sOMeAlA1aL3vTDJErKA4VI
I3/70aA0QyUDfK5FuX51J6ETA5I2bkt/7lLp0HT95OPJ2B2HQs8P6HeT8YyttpPrbKwiICRLk6mi
Lzr+q/kdkiLEy6sv/CGUtZMWdIXrjMOeHePGKsKKoQey9PHBz60+TUOYn7d+IPxIyXQ3jcvyXGoq
KnSS1B/vb5g1T21ZRsaiIKLzqF6W83oZ04zavSxx2psqqsezVgdV42KEk3/MBizoTiXA86fQrPvp
0KOHkz6pMPakYz1Z1YBLryP2xAK3phhtHkzjocepN/KOYx6F3axMfHw/it+VOrSQ4fEL3XmzbQ5D
/ARhReHtRte0G5u0It8p/LRq6udwSC0fA1rpcH96V5WZ19nlrweRuPRBbsj2VZyp9ehUwjd6J9Vc
QTHTPGh5lyinNoyGB32KUJpOeik5FyoSkDuru/GRjs5zgHo4FCQ27PXiOvi7hVIz1z6tD+2LZBTD
g+J06s5Ubu0h9JdJyBfxCcqkq2HoNAy8S/LaDyVdfnGkOvhQ1rJ1lmql8cpUl7wS5zyv7+f2hHmj
46npWH0xpDzdeUJuHBx6tBCm6VkqPEdWd1I8drXaRmHtgwIR73vTEN8oE1WoKIb9zk27NbVgTnit
giTgz/JT/rppkzKeRyUxK7+jp3XsBeQ59tAbW7ALWIlkfNGBgnRC5re6CaA7BxIv5dSXLYF6a8ZO
42sGp+eMEj7lE6X45mOoBsMbfYVfRybTWbAJkIBvwPKZIBVKKoiB1CvDT1oL7xt6ardDpL6ZRb4P
8BABhGIseeVqwQKnboWtpAkcMqtzBbRHV0zV3lm/3aDLMHQLYL9qPFDXGzTPwpgMNYj9sK8441MO
CcE16twp3/dpPgQvatTO8sMwqI126uU+BsyeG0I60gGYU9tFkCNR/ftXw1qu5XWGl7boQsjlgbLO
7YJSNKoVNYkvykkbiVsy6eOkhzm90ZENd5TzYPLLupgtN7IT57dG9hu48MPk5DGI4qWR1aapK9f4
cbqjqTU/lAly0gkzuehLU5epQBApjfeYKjeHjMlEBQIMOoRRUozVmuldLyJ8nFIfFZjxMTFF7I9F
hjtlljs74XZzKJIL0NRIiNzcX5JDkzh35tSHjZRe5iZS3bFIrUs8Zy/3V2NrpMWKnscvQNUbvm2Y
F0DYwjbhoOWm22p162fBqCGskEnH+0OtTb1eFx66K8+4pRDFrXl9dfQoFocYiKU+uab6p9Dpk0Fd
05wXCUbXhOVxlv+sWIOfSSKnyYMJ69Z2lbCTf0ByqzOvqjtdo7edSt07o+yN5zZrDeloZbFVeKNq
i19yEOiK2zej9rWw8WJ11SwHbTqE2rT3NZsT91qZB110e/erFUh+Gu6Jbw0YlIEhTtxKriuvp7Gy
k/FtXRY84RHrhvDNWV6lKjhcRgLccuLrMQbAczfFT0C3wtP95dkahZANzm3xKKNkdL06AHJbJ7Os
xDcTxz4kEbJHRTyZh7ePwsknNgN0uXUvwLt2ppjfxb6RT8YBuzntBO/wjXYsy07jBgf7sYBdF9bO
9bfE8FWiAi9Lf0jV8ONoo8ptmF3+9kucUcgjAZSD0l83mSfJHITWhYwiT/URHlJ6Qide28kyNjYa
fRAqYItoOxnr6tqpJaeg+pdyF4hqso5WmDYoL462LVyzxLxnZxvcZG5M3cImWYit5FDr+J7mERKM
7Zz4wEOmS9fbAhJJBivPwSb426hEiILLifaPnCV7L6tlh109SpeheXgbr9fejVpaE1nmUlBJ/MKp
tUOthZUE80mZtcuIf+07JRqHrwKo2/9QL7b+VLLx5/7e3Bp/kWw2eJjD8F6fADMwUiFqJ/V7kRfT
iazPrmEPZ53tm06ahpgHVvVzA/yuO3JjYXagzXZa7CRYy3quZwHxWUALCAreps4ZEqEa7iupH8l9
ftbGhotYB7r1qVUS8TlKk1h9qPRmr8S8sc00SrU8P8gk2WWrbYYg+oD6rYEt6WBokxfYojLcmOo3
2FtoDG8PcDwiuWiWkhLv9nV+p1mgMQwh/KIaZNVVcMb+VNlV+GfUJnMvpduY0avB1OvbINWDyjDq
gBd7l+aPkp2EB3T6ZbdJXqRE/l4ERrFziFal3uX+QR6AVgtKuFyp60PUxe1QOaWe+gaK0b2bZsnw
pRGoDeNAHcv2oqSUj+/u7941h/l1UJr7xtLopziwRroWDXKePU73fm5X8zM67yHSY+N0QesOE2lT
DKce2+TDmJgKtppF74F/qI/kj/WvZhJ79JetSScwgkvHRQ1I1KrOxe6Jx0a1SSyMhA+W++5hdOzy
qQuj5BDwbgIunuJyfH8SNoLYclGSVlOyReV2FcTQcUqFKRWpjyf6/NwWAMAqWbJ/3R9la3npxEAh
XARSzHX2jkQPjuoticwc2dJJ4Ex9QpGg+lyDPviUYpO+EzS3ziZnhGPJeeGor8KZ2ZKeN47EXGrU
m/t5LI5G2GFRY+Z74vzbQ5GXUwcl6KybFPJojhhn5Klv1qrhGtX4q9SV2ZscY89gZXOpoL0AEqTD
enMFJE0sSRmgfT/qEvEkW9LwEFBb2ym3boSzRVGULHphld0IKzty3XTWwEMLU/u5/yCCJhzd0Ynn
6hijyl/jwhxq6sEJxsp6EFER/e/+Vllrey2nEt0ObgIEkcit1q+GWW8sq5lJ5VNhI+YIcly+hBJa
A7401+nwXVNiK/smqgJbZ5ui+uDG0oT6vNs6VvEyxYmpH5IyqRtvNhJdHAVOmubJKR1lz3dsY0H4
pQ7kAGLALf8JnLHQopqz0zS8atIszh8pbuwcna1B2Me0hellMsxqK/eBTvUXdLUf074/87BJXWOe
yp16yMYBXd6WbGLw69RKV8EMBSHRL7KgvjHU1iclmOIPjTHG/0ylnb1U5Op7dgFbAy5aSdQLXjuW
q3hmgWiUorwPfakoqkMbo6XZjuH0zpbmHxrN7+P9XfWaWq6SBDJ1eqMgXZcX/qryVAbYdQxFH/lt
XhXPmjlHuguVLzIO9LzFZ2UI+uKdHcgmXEE6npehm3vK+/owPZjTrBonrUvt5CCWlts/SZJrObiA
JJoOZpv3mitPaRh4bSJG3etGVQFLrGhReDSdWEupatsadRg4PpIr8kSRvKIOUwR0FwmeUybnxcmx
Eql+qAJba916zBLtkCdWTdca/KV1qpWxiN9+R1IQJ6Eg/vG+XM9IoQrdhsaKhsykT8fBxkAJso12
CNpm2hlqa7HpqpKLc6yXAtV1PpHxrwbKq/ADRmfyA6GKL21bZD/hLspenErqf9ld1DIRAkEzisC+
2s4BvAo9DzF1HZTOOoSF9j5UdN6bOLE9zLO0J324dUZpeFLr5/JaXKmuv2/OU7kDvIOHrCw3h1gz
wkOJOc/OzbwRacBJI0W1dKhvu9MyOuRh5ZjSRVFbGWpXpTw2ed18QhAk/Xz/uGx90N9DLQv6V80S
ghjqzDYySg12dZ4upfnZKhCj+g+jwDSgKABkAhGl61FMcx6jfmHMhFlduyl18TNdvD0P0I2ARtMQ
0CHSbwuTeXWBZnE0Zvg4hH5gaRiCpIp0hA4en6DVqg+5WUfn0M7kQ5hx593/vq1t77yi8nQ4G2iD
Xn9fJ7cqvCNOWDdOsddw5M9Fnymuk/K5Q58b3v3xNjJISpeYRS5aIiTTq13vQAvjHWohWaZP0rPe
KPYppfx3mkIc5tBQySDOTnuAwM1BF7MHukL817pG1dJszRLDjvxBUYNjOsy919WR4SNJYx36wmgv
DjXVnax14ygg74QZJnpwcFSdZf/+tT+txqwCSWrQu7GF8r5MzZbHrtV9lXpHO92f1M2h4FGBziXM
c8Svh8Kw0eztjPgr4tg+dWaQubmUh+/tqv/zH0bijQeEnABsrAlNiXByIy9RZLONquo8JcZAgQZb
kf/IscXcwx6vgatLngXBhwSPs0cMvtEPGMOobNMo8pu26550W0pPFnb3mmvbofm5GVDzOxr5POee
HjT6T73QqqdqzvO99uz/54cszS8OC63F1bYNy8qqigw18liptEOkVOkZ46/uNKglVqa9I/EGrHqm
QilsD9UsbqWgq4/3J3/jrC63AzEK9hyPMPV6mWH1iMEY0WNv0g4ptcT6k2tqg6RTalBYMa3/sIE1
mn5UdgHyU9m7Hi4rBl0NisVKfqnvHYqxi6EnttGvFnz0njDlxm3ObqLPRRWZgvW6qTEWMy4vRSld
4nwYPJh59cOUyrJ/fwa3DsoCXlzUWcEFr4PglFdmZ2SQf8cybvqDAV7rMqXQuty+jbUf9wfbXC7e
QejvLGJn63ZXNMhmUagwDiPoW4Yn2oKVCxS6IEmhHIaZd8HOim2NCAUBwS0KXfqNkVapWyOxBQ47
TAR08m0974AxJGHwPpPMqT0YWW7JOxf61sJRGKGFv4BCbyCoVSnxUMu60E/ihGOY6w4kAXNvlK0b
nLSMvILKw20dO4BbRGuPVLwWUgcQw8Q8+FxDWDuhMt8+tnQh8B3XIuN8fw03NszSakZfE8YfZKdV
VugMFJciIbMtjUR5iKIiPqbaYLkBsIGdxVv7+CyXnbkAF5ZWFKxmc1ndvwIGqt/z5CR97PdRmMtn
NQ/a6pCLLJi9blBr6WswGJV50nI1jy/CNKTKC0QDMkadA6AxciLbn2U7oo8aplpxSbu8f8nyJjFP
iREY8k7isDUzf//a1Y1YS1OStU2OtgjAkYM+9YjXDa3qYqn5Rm/7/zcx4MVU1Npxa1o//LImoX9H
j5r6z9x/kce58ApB61iTmupD0ZX6oWnbbmfll5VdPcYWkhQZJNhqXvurxx/Sy3VV1OQMlnCS53ZQ
JteUlMjrcNL2bDOTDmhg6D9YHvnQd07+fH/jbRxlUDmLMAO1xiUMXm+GvojMdkjCyDdVoYlDWGc0
Tm2jzdVzOGLM4U6y1e29gTbSUJ4HgKBIdHmVrN/xOYJkADFxU3AkNX5UuqI5GcOQurOUKWwiSqwK
FoBABaM3Um9el5jkjCyJngtF8tXnjmGZpCoYTF8qA/NDYcklDb9I8dSktnYWdmtmId2gebiA8WiL
XM+sNZlg9fKlF5IES0pfaco5N1P1bJZULkO5mndOytaswqXgVQT8AFLKasCkyxMNhGDiR2Effhua
tARwVSXH2lAm6yFuOqdwuTKdE693Kd8Z/PVvX+1j3EpJtHnzAXZdl6qMTgnoalfMbBclHcRRSa8O
GTyO6EFD9KQ+hknR0+/sw+igtTx56YJEsurWmi0+SFEzvIS1BCw2DdVGfIByWhteGSrBg6V1bfoc
BHH77NR2/Q5NXvxQy9Iu51NtG4XYOREbgQa6KTQmbkhsFNebc6yjSkeKNPKrMhk/YDKqhG6HBdXp
/sHbGsahZ8L7hIbRTZUJ2lOKAmEW+aKXpie7Q1RJ6NaeCOjG7Yl0LJIZbEG0lNf5pNkYc2cOZu6X
BqyXgwYDBV1sqQQhp1MW/nn/m9SNLWijwQXAh+YpCKpVGOsxeSrTpVkSaI0dnoKmHHsXhJb6Oc71
ofPMqBShyzZt1fOkTmXios/pwLBuxin7matGMp/4jjg7TMnU/dHQfJs9fVTr7GIVFn/BmEso0HeO
HTTnYg7H5wFqxvBBl6Nw+NyaZph6usDPw+uqIJQeULStiFh9lz3qYSeeYTbN1c5CbkwxTD5EdIDe
UWRZ7xeEUPLO6rScbFnksxdU/XDWQj0q/S7hnztp0JqqvdxgeKQC/oHxAx91PdycibbH3Y8pjnvF
9tC5yhSvy+U6d4WRhZ0XqW3+s8U8sXySoY7L5zKUksE1Q4sCE7jSxnalvlY66vMauozDnJfV4f4+
2JoSGHHg+snpEcJY3bJCVvJ57MHbi8Rm/eWyO0nj1LhGlr1R6/J1OiCNAvuERwbiezVUqxdRhKNL
5iOUqpwQQ2t/B3kgvE6dxf/e/lWoR8P1WLqr9IeuL/Rw6W6XSMD4clvYpynVzEOLzolnpuLL/ZG2
jhHxCYAc5VkkdVfFkiFIu3Ru8synGvMzy2P76KA+6cqIpjzrztB7WLmkh0Epk52nxMal9Or+szjI
AoJbJyNBa4RybjCbRdGWR22arHcT4K+3928XVRiqMgh9oRqyuiWyRs9EUzdsD+zaLnMqlcdoxO9L
6pQ9ZfclO1xFJYaiHklkAqK0TuniVg5yRU74IDuMHqJ8EF5t8iKLu0khAEmRB8W/eLm/fBvb3wEB
wQ4BjnCLdw7axQClhzoTT3UDGKoJHhMFw7bCindAJBsbZeEZYqBEjnGrs9PGqlNzG6f+MEr97Dsq
cr0PEZdp6VXaCLtjTopxfN8DNTU/h6GtBnvX0UaWs3RjuJQJMLewh3aqczksZAg8sh7/DiRq9nhJ
R8kXxcyyym0sM/+CWBeVWqT/EvOTNJUQbWoyXtPtDD3+oLZ4eJ97FBkewXhhLFsOYai7WQC99nh/
XTY2A48eGpNERJjB66JSbOl9l6R000pSsnOujqZbyOl8KQxt9rKc/D6Ix36H7L25RIA0eU1SX6LL
cH1r2GUxyIHVp35nZdoPxSmyl6kQA+9yPTonTZs+5cwv4U02/Pufu1VMIsPgFBOOeTGvh6Z6NAnM
IFNftaYIG+8cKrYLU2VOvAwp9upApMkyBEWKUnh9nyoaNne2BkW7r6RP93/M1pmAArBAx0kOaVRe
T0MrNN7OlpGhPmlWtsv7Xv0eh3q1WLfI7biz0hv3GCwZSDLUYpf0Z/k1fz1xeWXnUVESgID+WdAc
GoQY0Zc7vP2byHepRiz0tRsdopB8hcJhxyiZYj0DotXcSJ7EMSQu7nzQ1jEjGaWgDQ17KYlefxDu
g2kltSYMNiNIz02eW7GnjZH1bUyHSKNf0ImXt34cLFxwROCpSObIbK5HRBQY0r6T5L6aId7u2jru
hkgvlq3hFjNW8PdH2yhKkAnT/aSwbHKdrYkpQqcMKAXcI3ZvoyreFQla0iI30q+YivOS0fPGrrwW
gmD57BRDFLpB4AAfn2pDms4mgXiiPhz2wVEMZhIdzUofxLESahu42FBU+psXBMVipJmWrANy2/p1
pzbomghkPn3o5PUxdkbjATkVbJFtNf3QOu28M57BdF8HMljCdCfB6EAdujHzAE9XUncpEj9AOtgj
7ai9xMbWQWi9ddlZiyX+rsci+6BASjEKmscqPqMchl+a0mY+l8rUHKKuR5DdXGSpXVQk5C8Fz/Yf
QdZUxXm26rjzJugaowtHNQnhSldl6lZtHpmPoNLHh2wMnT+AmOoOIdhRhscQDkN4gOpqDoc+GYjG
O79fvf39NERe9TWBidJMvd661owGrlUBoIotpf4YUG77NQTkdVA91dn06sDQ/+Xh6MCCyh1uoNTS
k895mubTkykyNJIj+DTxTtJze4KRqWF/A4yh8HajVc58djjNLaFaKcovSiyZrjY4zrHPe+Wl7MZv
9ydhY7ilcs+FS451qzkfS/IwZH2cwZzjPRKhWv6+S2YATY5JUUefkz3WzG1w5eiSFQMIsDewMonO
FS+lBtifuI0/DRGY7FGWJ8j7uo016NRdkDtPdvKf23seTDOC7NgSkbDSU79eadgABRy2tPfLVK6O
s91ki860tRNIlyN2u6VomfKoJcuBP7fufJl5HMh9mjl+E9ZadDJhsYTvxWQZR0eZpMjNB8zNvSEa
rR9KOxTNMTLGxjogm9BPbm5L/R9MWIS60NLM7+1ohB/KIIvy90bV4KVWK3lfPcEqaRtvEONU0Gau
oxBIjxo252AKEDurwnbsPzaDyEw3nvEZ98Y0yHAf7uS8RvHecv6p5Uz6rldG/jEnyoaU8dTgux2G
0eyaGWnVAdih9L8ZZbPpIOa+eK/kYfvPNI1Z/uTM4/jbUPo+gRph9MLTUngdHp8SZS6Ke2gGAhhr
vi5HOHJHyqLGqWqNaPJmx5rSjyiVZV9kkaffrUQtvivjnNTnSM2ar5FNXfuoxPM8u1k9DLgBdUGa
/otETFT4HbUhybWdLBrc0sDT9fMQiBYDEbiRqX4eBpPWiSN1U/lPGGvUCKepMj5JcmH/igenMo4x
efhwVnFmS5FRSNv6KZVolT7l0KXCQ2eMWfrY5dIkPwIa17RffebEkou40jD/5kZLUduqMhW4ujKL
wIudKXuXq6ZExKvrUvmYiaD6nBtSEPawRUZH/jOPlSMukloN2rtEK+jNYgU8yipXsyWJrPbx1AaY
+ke1o870wGGJkXxXM/7QWRDmIw/46ZxOc9V43eKVcxmpOPWXzO6zP1Ggdt9pGJOp5MAZXjoZCe7L
mPF/cEFZDuKQtJM6uigsWhgHgbkv8cKLhsoDQBT+zxalpnvwHZPZ7USe/SymcIDcnYcDTYvKtj8h
bKxkIMLy6FtlBGUFxazOfrQoumaeajfk5BPBzgHjBnDviPlIXrmgeZTZzecMqE5WCwfMFYz5P0GI
/JqnKIA9gOOHU3gAp+ZkB8q949dgipT3pDHtD0BErThGZZPWxz4Lh9qt8brrXBO5/8yzHaR+vdqY
m/9xxo1DD7zieWocEbvx1JpPkuhsoHYWjce8UFLF4yWSeklQmp3XO1H8LDU1sr8GesqdC82/e0wT
Oysw2yzqr2GVZo+JoYmzJPLy16SZuXNW00kpDw2+GZnnIEL8HLeFmbiSUPvRY/unCTaJKLq49WxY
/yq9Fnyfccp7KJIxHo+wavAGE3KmZYdWJs48RVWlQi5JS/0hol5duHI5NI9dnEwgd60weFZmOf7u
EEIzZNXj8HORBskX2ajmn5GUNLNnxJEyeYkahL9xQookN1b7LPZSWJahK2FDNh2C1BL2pVTa8aum
VtpHp8y0zo2LMP06prPx4oR6N3hzNZnvuxxk6SGK7eF3oUuT6nZ9Qf2ytu0igsHVaVD/mzJBwNvK
Y/kQFf3UuU4x9xL/e+ccE7urA5wmiuQDAq2hwpfFVpUcuub/ODqz5jiRLQj/IiLYl1eguyVZm2Vt
1gvhsSyKpaCAgir49ffTfZmHmQm71YKzZObJHKOpDPal2f9ytservGRNJMoR/q+/cvQU3koos4ej
ElkpuVDHyYTQyT1Hdhgehd44/y1HyD2ZS7z7Ctkv5skJ4nkpd238h7AOev4RDXMp1ZHKwh4mEoXM
1uG96eb+i9jcgLPhQXn8dvc60TyFw/A47aTaF9HerG+i7pe6mGwtj5z8E16QbbYaZ+homP7rIkKv
8opiJsuFhNrqrEUcv8Zua76WOO1fg2Ht7EnHm46KbInFY6ScuL6gJ+cQaB+mtS5FP0crEi2AwJKB
P/OYcupqyU3t+Jdw6WR9DkZIpHyrl/nOdr7bUemkeal8H/BrCJmb8zFpg7+N29TitM8YRp27bk+B
dmBffgfH0IoyBSojrhUTuJfFEdVayCaO3sD3Zn1qnXoec+4yjy8Hnvf7jM2mR354zv5G8PYwF1nt
yKs5ZKkuzNR5mE3gy9qVMc9MlnuOGh65cWvfEVigAdsWvdk8y1z9UdfVRHjSMLp/yIvQbz1aCywM
Fr/76KM9nk41tn5xnhmN72PS8HcVbdN831hwbRblbdWoL9MgISrnKG7ladtskhRT6vYPPucAPz2u
EmyhrRCa0DURvHLJDQbpNmuqXirtxhpF2jb8Ob4FJryOnjOfjnogOtFPSBoMPandkqQ3PRdpIuyr
4kqH0ZTI2oi0p4GI6g5vTfxQSDHw8mP2Mc4EtMXjNx6OIzmljknQ4CQO8gV0qpiohvgHXo9uFVWX
ZVTfF39J2PCl+BbEv4i6zneKQfmePLXG8V+BB8YJs1eDQG8dx+BzkVl2x/UR54bJzo1LPslxHci2
7Pefgd3UbdSJJcnDekbcRIvsHnZ/3l/CsTtexn7iWcUoLP5KK+a403gwTlM7Ov/Gth2er/1cp9M5
tMTW5Zla9Y6sEjvQ3Gll2N8G0xZeN/Uq/tQjZYF0RCG6Ym+36WUJA9Gd240jlw2Yf7zBiueYoH/C
5dqqxftD+GBLPIbiT1hxe28o86tbn4Y5MV9qOwIstTnsAU2WC2XQXcbsjiOHqi73dU8unj8sUxFU
UTwUeH7qf9FQ9VF+KFeIc7vrRPKW1dkXR9wzEbJUEyc/RrplIZEBCsJcG6JA4aDl19rE28FsIUaw
6LEP99xDVqALr57rPvfMkD2IWmCa4u6RLfaecKs8DKb2fetX8W9UvtnKKpHpDqrtxD/rwB15/yMn
HGCc+ogBA1dTBEo01m7i95yH67A8HKm/LsXOyPxUOZzDnRdq//Ua2yorrawYjhWdyAcr3NcUOXWD
8y2nenTdOK7mNz8c/QMRTt09z/uR9adhRACbkyaVPij8BrYysRXP5Ohru1x1XKv9CwZneOycgUCd
SIbSFHWaqq4wbbbZcu++qxYsxv7T1mMTX7V+29xhVUV8xUJcH3qOaN4eOxIk9ss+cuR/pkq4jymJ
8JahwNtP4ypVds8K3/4k3oLddw6nRJZDtCN1251vuQT9ZqciH3WvTm7j9jpXtUvbIbFNJBji9G5z
6zi1GnM9j70qDMcW9MfNKl5Rqv2/4dDtI3ZpbP9eKMiMJZXk8K8OPdjPzFvryxIPUcb7ou3zGO/j
D7EH+tl1JW0Qy334h2FapioffSpsQZ6ENLkMXZq/03XYpKQJuoN4NvHvPm15w9xjDm6qVqaanwDo
M69minLh9UaRn+eIbcxrf4zv2OUamycY2KoybIPVPR3d6PuFFRN1cQ5sFJWIdJAR9bgz+LwiWfqA
CIhkjqQSVZc7Zq8GHj/h3C6YUshcTcvGf2y27GHs4e3oMwmpwpXJjLlsGs4Q/qxn8GpJDfin/Ght
uMxniEVOKQkq7RefZ6Xa1+6T/FtbYZUsvF9SqvrFidbsPVlcmnzdU9PXlpinixGims8zKZlYE8W+
N4NQK2ckxcbGDg/84EChxMP4vmXupkDuuvWK3FcxXPW2CZ7lvPYB+4fXBLmafTSN2Tp7w9mdnBBB
d4RGo4TVwPzQNUP1EKbfkcoihClGixRhdcmG1RPWufvCnAVUjcaDzMEG2nJetuZOHHX/rf5wzFdD
KJwnKV1MihaE6i/et0CkiGYM1PI2Rj6eo47wrwbpWPg7HGCJHrNm/ZU1anKLTqfbx+J69a0gS2Yv
ujnopyv2ZK8tOKmgkzgsOx3joQzv57Aa4AZT4d2Y3fHMRSK7W/I+NeszNikRn9qNeoK+9tj96FTb
3pi4Ml0xJJiVFnpS9m1CtKdz4S2xIQg4sLYQ67zpHBuYSpE4bjpx8lYG8SIb2GxKHlVvKKCS5r+i
CzfcirImaXO6jOPeeQ5CkB8sB0mf+9imsUptvnyammZccqx//L+cnUeMINmAWXUyKXky7cBDFhLU
YnIMP6bHGknjmOM8UP0XrJ5+PZScbWkZPga+p+9NYJZWzuW2dxrgPLXdnFeQlqhvpqn5tbRH9sDB
Av3/iPfZnBfGpDBvp6z+q6eg+gPt6ckiSid3K+IqVPy12Ajfj/BIn3MYMWELN36SGAbO+eDM3X2t
XAjYfYjsHwKFcIbPPO6gi3BUiyl3Jq//wsib374dxpyzYR55dw5v/cK1T3bckK7pd5GWu847ppc/
st/48fxl30CXuQO4r+BjzNl3+uYvK5r96lUvFgiBnkc0lGru2Ca2yeStCCnClY34wMZ4mLb07Bhy
AWKqAn2HoiEKi25Q/V/Co+a/YZ3RNfoQg7d8EsvRlLp1wvdwZTcrQpuYdxZaChkFC51kSnm+7WoZ
NsXuNZsoGfPU9/cjsRTRR79/RDaeVE58D7tl5B/BB4eiTD5Os2lbdlHWz9wvbeN7UzXmM1olUo5W
sjrliFOcByb2iPV1nfrqsk3SM/m6asuvuY+m5kTQ/MLxAjpLTVe0+2/ZYEKX62R2nYIG395UhKFQ
beZu/88xdfNj9O3S/hw8pECjI+NXwaF4d1ZmzzhGGFUW/MAAvVFlusj6klaz7krmToWAxds3dZEb
9gy5nfegZs6uxgHZib+yOcvQ57WWti/cKv4GjGVNGyeZZf5HaG7a5WY/GnZAsL/+9N20Pw4ntDqP
kQZ1JTW6urdT0HzFsQ7bMlqc/mnz3WYovx/qHyNZKgzuU+xOBXcFPpEObQLQtmjUc4bp8Ve6x+tc
LMZYt0AS4tD+nG797KqDm7TMOcYoZ8m1V0ObTV7OaDW/1Ome2iJpcaDInXl2/vQ0jf8qG48fXVAf
uC732Urtj8aIjThm6vJC66WUP+VkRdur5W3vk6ghVsfOyZm+v/9q3bH5g0xm+on/kvyY48NLLnbz
Jl1kmMHX+RLvio4hh3UsxCETyr9EDpxLNhyW406Ef9Z11vdBw9+bNySCfFrVyZ6t+zAVPgJtQKuh
V0eFO1nz2PPfnvrGyZxLLL39dyVl9lRtus3KykF4xZswzXTmEAA///+JUC6QNVxvbXWIwunXADlY
ekR+aczQvHTMvpdMptmHOeKQOp4NbUS9w6Y+V6rK/uH5M3U5w+A8n7K5CvszvghpWwSpoKDulZFv
TI3ercE/fc1DFXmksSfespxHd0r/2KrdP0Lj65vI+/aoI7p1/6Rc86ykOuIvzOQ6UCVRDNa5BwTw
qfcofViTYzoKzGOb/5iPsjDfU2e44ShDJ6AUK4oD8ICpuhbqAEdaJvcwlzYzLZC929I94mNOMhba
QF5aNnN7NZMx5nAUHzneSSz9coduZd+LRqfNSGOagKAGp+a3307r3OeLP/S0s2A36Q9HGfdlFfP6
wMk3w9ARSnHL0My6tou+HlBJLBuB1JsPYNccTsBciNKvz4XCf/8kI7/+6ZIbcjX4/vhkjmVxCLMg
diavvNSOpalEovIj3cyAQUSaNoUQO2/HykkFcNnm76c0FP1/x+ZlH66j55bcvcyDkJ2ObM23dPfr
XKWA5MW6quA5cLfxo9WZJeR0To0BfF6Ue83euBomVjM3Bel2rlcIgOU6j1JsV+tQsW/E2yTuXSfr
p4KJTjhnDhNhO7iDjJ5aEXtD2fsrXroBANeeh16M4Umb2PEz7jdi+uotOej1Wbq8dq2tnowNqqqE
ZPD/Lfw0913mc0+YeH360zba8hll+32N7CcfFZIsmXctS1m+VIDaeThn9R+NnWNdyHFSdJhapNNJ
sbX/8wOTihIb8ZG2orfgyCMVcBY6Iiy+rwJJT50AaJaz931hd6OPaXtw+lYK9IA6e1TxvFKgHfcA
2EjmQJcOaOtwOqLR4WGA8fZyVx7+zbiOccgHruJ3vFy4Zkv7Tf50Qk/cEQ9iYxA9O74l+7qEhRs3
9tm0fs33Ve/xjTOPTnKD/Dj1IJbW2mJyWyfxDTnm9kvhzUbsA/q5LxXuwDJ16GJnLZGjMK/ofv1U
kVnnfNedf8tktq8X+X3ql2cNGE9hB2UfZsbYjyGLV3xqIONfMuLiBAv50o74Qa7pB7l1/fNGtgKt
wmKTig4yZRfrjnF7zLKxFWzao++dQnnImJOqxP0FIejM14Nmt86zyo/v+6gKbjAazvw83er1w9aR
/I8Jzv8K5A4XIMgRJpxOBRj5qCrpBBPb4c2XamjcH9yQqhlhdTXaMjW1+tME655CoWX1golDFi8n
fdTz6wbW5jO81506MQsALSbr0WAYLcX01buTu8ABVfLvNteUzx7MNi1NOjq8eYeVj0vniS8UOuzY
/rRuz4e32Ic9FOY3z0fwFBNC958A5exyu6AOxRqzmj4kfhF3dT3W/uXotvrPzsSYFnO7wwNmCctY
fnT++Fabbfh9dJ77vg2e+jXjFfTuyGWOLwb94AP3+smfpqkrhS3i3rXlBAI3lIfj2Qu6NFSFDJn+
vwMV+O8FE6P3frDSFlgdsbgyqfqfcgfnL3GSinnmVl6SNQ06jPNcr3uOwwr7vM6vEJWE9H83z7Bm
zvJd9tlcRK619pLNICyMLaN+hbj2f7ZJNv5aIzH+8KYm6a60dF1RdniDhIWhmdhci8AlBcUnJzHf
TVg/V8601/BwfvtmMuFQNq0hwmEc5+jf4CQ7cCqUz/vRrDhuir5RIdB256oTnI+5UbGxCaqHRL96
tS8milodJJcBC+k057lE8sxPh9XAvrq3FCLKW1ONFcyr8rYvpIRUFXcX5EdCLo3Ome/rm+3jMX/e
VWLZFzRbznWgrInyfYRHzFXW2TRn9Ng+Jq4GhpyzlxQsrmWWzXtYgSGfVBMSbKKpMLlEgN1Amaw8
WEHt9/8WAAbwbM9FjDkvwXAO0RZ6RagJXS93MXOOy5kIpXFyelbiQ+GqkkcAhXs5gp7WSEn6/nHt
JiKrhZHxSM8ds6yo22m+MT72bnzEdmtLSYD5XT/JLC4Ia3JfKzvHXwv0xa+h3pgxdMfzuaL0ncEJ
ozGkPC1ORl5fP7z5GrPy3DZJ87KtwRa8EOQSPk1IydRwThWk9xuc9fJvnXyHGr+kK8mol4VeF13I
A1B3nZ+t7DOTnG+9Bj3HFQZ8mzzt21h9rNSOayZDK8+tQkNR9LEeP8OmavFNr/p0xr81Bnom6i5j
dR639WVajABlpWaLy5bo9S7TmltwUuC3LzGZ742NBfFntHfqcW+8ZMDpYA4Mw38r74zy/Mdus25z
mjjQavJ0XPavVsbBj1Ek+3OkvO5N8pRGOB1P5nG3wfxnbKf4dYBoB0FrYtbNIWjXlx659XibkJsz
sxH1hrVy8hmeN+m1QELbFrFLUEib6V6Brs7eVT+mwdYBwkR7FADtu/uoXdRMiS9jwIJ5qU+wAkPC
lNPuTO4uwuDuJGavYufyguZGkf/Hvx6IUcud1HpuOVNfX1qnCx5TkFPGDaQ4/wwmQG9rtzjvM5/F
ywc8/Hd4ocXjPJFt/TPRQQi9woocFCgO2hsNpqVKsahvHJAqc4+xbD9yheWb6dRWfBxYDRvfcBox
hGdXcCD02XtcK+ch5LfGda7amGQyBkocudjoKQ7I0DQeblXcVPeRDV1bbLvMfg1mstOVj1Xvftkk
Lq/f4IKrrnzDEneKfGm3Ux8M9dvgoJMFvpiBdIhRFHHhYvvalmIXh/7hxnVbnWxwJFk5DHGq82ZR
iSlHpBgpY4kenrjY2FuI+X1Cip0Yvogum80vgIhxKdqsd9NP4fYRrGAqZvdmWb0jyhO6pygWFTCe
6bTqO14mxvQLxBBhCMvK4jDFapLlJOW0g59yunEKvMFlAWxqFzeubEfgcSYu1nqPpOFsSDfpcW/+
XqWA/0P07eqowkC6p1i29nVLVp2VJkg0F8wxVFYeIr44Hvj1TX6hYxi3Um+p+kHTlu/bbIKrrO2n
vx0dTFxtKHO7c2p22Z7jacoe5LbIruRlAUJo/WQSrBlxl51Gj2vRvFkjBsQGgF2dv9ujd12bZkzu
WhaFv1UfEl43bcHvUYt9LNveG4bc4s4yFlnPrQquc4f3FQ0hk00OHKbji5coXz/uUbMe74Aedrk7
gMDjU8gYI/KqN/U/rvjq/eJB3ckfksgjVoJVJPJ1xIPUP3sTVhgloGA4XSMtbuvzlsxivA93Vdm8
NkcyXBvg9JlNNCQpnPeCIRg0utlvZBAu3jtli40mU1whNHlj5jXO+4YefG/dvokenQzjkyB3st3q
E8ej/TNTVRVfu1aO88PofwvEujTa/VK64/E5NkCBf9bv482L5kHTvPIuxJ1oXO8UUPLaU1Nz71ds
msh0qu4gvfOU1iu7Kc8PVKpnMHFrsA7W/J9jFd7gRhXrH9n30P1Cbkhq/7a9sy68wRSfvGN95Pta
msXe4726UtpGt53x6u2D4C6xNm5u2HZlV3Ae0QKkGyNwDq3o+PHfMY5UdgHKl3XRpwv8iIjqbDvB
TWSvYs8ctIDT4f8N9nCxT30VL+tpNF2XkZG8MaIuE0xuIb2x8S9G7ZO5w2DW8S5O20DqOaSpjGfq
3PRlA2d2yYWusG3QcKHn/vDMp6pbcJCu2q1heMm8r40/fLsFgpu6cwCIqV8SQQ267MfA8sj34z2M
LtdnheJCgQkXG56g8LAX0be+MzRXq9oI2MOuZ731SFWcP2ksqSlgngbv0ammNChEqjLnMWSAU5g1
HOt2n1UmhaLk/Tc/vXGdzR1YdRK+exiCJKfFLiFMy7j75qbdU6PveAc8XbBlKnw6NS9EGY5cyefb
tkTuXw+eey7TBmj+OjB9r66BdXEXQH9PE9HcIyzULZrF1RxpJcoobsxy8VfkRDmXK7v/3AMPLbns
jAu44wKlF9M+2uFuSBZ6Qc8eu5RmHhCoW7xrZN7jBN3nCCXcH663tYBOTTDvha/CTLMaYZB6kwG8
fR5qh2NGm77oE4trFZzrqcIJsKZebLdDNvEcQXEfttSMPuOv9vt4gl7VYItjV7s65UikdMfHXKs2
O6EJiG1RjXr78LtjC4uMw+gj54HT8VXdJ60+L90Rs0Vk5NWf/GEbdDGHZNeWCwmF+6nCYc4vhQ6n
/a1Lpe9CVoZr/BwtyktuMrhVlkR8DYvAGfjgJN/pl3myFRcuxFSPxcaRqS0Wsp2Psum3jfBbvWtt
b759vffSHmHTnriq8fmx4oN7GuHMZrzPzBA98YfTIEd+uNdFm8UrD71m2FvA63+ySS33mCDV+xUk
n3gLq+92RLJ46t66wrrmrDLDZBEZ5k0YO4cxT8S1VDdtremLnXCOuEQBcsB+6yRQewGMOgU3ZBiF
v0LWW9R3rcbgLges7AbWhmo9XsfdnWRO8GJaQS8MML9jtlbV2d3cUL1ARCz8YrZW1j8AMlABLI3W
YMzwW/GptwIhIrqzBSq77r3tFRhe1OfDVriNcikRT6Ui+wedd5Rqez+siXMXIa9Ir4ETYpU7ym28
HxHYx8u6VRFgqUAQBoe6OFSwORuA5sIuJCEpQXlY9HuANf7iSwVC58lKnHVSxzJvG7bJG3VEeAKT
Cug9gcyyYsh+xltPZwNIqpyr5UOE3niUozmaqpDxoRai8sawKdsB/c5vJSWTbwA91eZJ0A/91Tw2
i/uQddxQnuUmU/fOxe+OCr4BGcBpwpMw9XAaEEQnRghMffrKxPrCw3gQwz4vnPaItgfk9VD+OvdB
hfz8Z/TtyPHWaSEEZPAGW3tSbcXeG6K8jn6puHG3ct0wGP5sdZVOkAXU0Z75HPwGcNblQZ9clrBL
OANZ3h++1zalg/A1OOnIZPpqqMNlPWfoA8WvdbYz4wRXccPZOjiJq37bxytDGvOzxI/6x0zE9Vz6
jT5gFdF5lIHwouE2CdpRXdPlJEpD2wCRNHqBKJybYCO9PmjkO3hXFRfNlFaCWJho/ZKHjhsMAvo1
vFb1jCnTxinIp1Le8mAgv965bbf/x01ciACt9+AMVOz4xAwBDzwT3JbuRLeFyVT6qnUqvIQYiS0m
yJBeqAuC8zBgHfiMdw2S9YQswn/tutjjZqAImpNjmhQVCCUPH3wFbWN43fwn9Bfj6BayA/7+N/am
by9cnHaymOGxk9Ifkng7TyE0PWdl1lmnMU+OtiP+23W3Td3V2Ipv2BUD0dyieW22c9yO04ee0UaB
Ua0NyGLmDthnYO1ZURFr4tgX/+BAv9+O+Y1tQm4Pc5SJW66K5/oi5n0LziMgMSjB1sHbLtnhDchs
hqAiwK7rSB43OkXdE8+AgsvkhkkecZUmc+sE5q6Bs88ujaGYFN4CZVhE0vo74Voz29zqLM16HrpJ
XTRiq7oICKoStz6kmSyrlYvhqxSDLFS4+9DtJVHLqypGf/eOUtfRuBZwDHRs2nwTwGuHq1PsUVLf
WeKGMFIfTAqyl3XiXiPhREkk1ogfrPGOU9x4Orjs2TD/boe5vt+4WkYL0/C5PQyB5flgj3oVYorv
dz73UGRVurJ91834Zmzv/8EEoXsKo1591JUnUV5sR3g8fitv0jsv2ABd0S4tmNgAeivi/NLxyA0O
sh9NFymRBzrtFyAQh2i6eomz43JYZ/jnNbzY595WejiTgxhFF15GnZ58kWz9GecIRFJ63Hd18Z24
s5cYRcFSLE2dRGcOgpbqeVtZlss5DL8bwqDdN/4wb77VDKzeHzJns+gyjo7nl6MwhzirNF6y894S
ZvK0VlvzErYhr24zztXvLs0WEAwbBh/QPei4WmzDfukdwPBkaxN9zDUnJPnEggdXzNDCK09hel3A
3ERRiXn6MsT+yrKBG7oHEeyQ1cQ6ecQaYEbckEZbe4Zdt7xJvqjc3A3GBr3RuLoDZoF1DDIu3eFF
jDZ7afdYfaEaDvu7cHcbxMuSywd/G3tZJKMAY4vcRnHTNvHJfuloGsUV0i2yDe0Gcv28Jt+kBZP2
+jM20/6fhxZHYjaZsrOmzjh9QtC1zS2hiDT8Ko6X8Eew62V5N+glk3NFLld4mQX15cZ3gHgv9bEE
azktwYZmxjeSE9SKxaYFUrLXa5PoX1jz8og6Tqw+JLds/xmU1z+dDCfnYqgxmeGNJE36qrXYBZRi
2kgZUUflht/qrIDUUjSxw6VS2/Z06E2yT88KUxgNQ5+VfrrDHdVOr4HrRENWgFKst4g5zL5cIWRa
Telsk/vIiRFo2SimGV9R9l1xlqyD/8YttZBTewIZPdc8en+7wc51Hvj28EExNztdI/rjS2CQUPlC
RIg8B0J7ooytDn+zXyAZAETb5es6akMHXzd6EkG0sNo5tyEj/sjKX8RpBYRt77qxbV6F6fqunMbM
c09dss7jezJVQ8wvLYBFCUjJ1Veup0ODs5B0/9OVQbiDGD86kFSZ7b9FOwduClOz6iuUQkQmJFFE
mnpqSOMpE7+LHlzmYfPZk0Mc5msAPVcYd+GCuB8cMaLwmuPmLMIWb9kMzz3c+QKlXo2P0/V5NjMJ
utSkLjjxzx7ehBVugNfxeJ6XSWrDPWpzvHuirYYLDr94nyHbC/Wp4kEF9kVp/9L2tZvcTXFVo1Wo
tVefrNBg6G7mxDe7syrAIpFMPRzO/D2hYooZFUTBIRipOTwHXK3dCkUSBMxwPfREwpTbkNa2RPsm
BDITBYy1qVqTnqtS0EFvTJzXfZBsUnxdv10nJVh3VZyRwexD/5Z2E9BEaC1dRBBUaII+a37L5bH2
yXzVQK7/OZYG+CwBO96Y4+qOQaMR0/O2Ndl2bYX1/sWLiKvTDP79sz0WREa0SsFlhUrib3pSrifO
smNOSqwIS/jE6HlCThOfOGmo/uFFiDbn20Tn8Yh92V6ySrrJDeVz60rG7cCnRaiJjTg6XDRE7PPi
XDM2ppeIX/yXy/c1Md/qpLn0CJX7P8uMU37OyAEnnTfJ4F9BC9Q3XMY76zVHpVn3rYM5VBFLy37v
A0FOT2MMmp77QwrIt7SpZ39QN1tTRJlKT+n37ViuYRS8qwjjVnlhMRJc+9Wd6G9QLncWUWa0cJie
gLSdecKH7s5DYCp5A0E5ThzsVzfDvM93QvPrPx/x6v6CPNuesjTIPvzBh/UWC93RBZ92eXgQKrpf
zZw5Xa4hNkUJEeQF5y6zkBug8D2KMAsQvk7N/JSY0DUlqTmWk851UGmuEc4ZhMuL8U+g7h2kn9f4
6MfB6JsfHZkmM+dynq4h8sG13pMhGJ3bJmAQKLMJGrgI3Q67Ol/4zvETzQbIm56qLC5N70Z3PRow
8bSPeBu15FjLZS1QpTR3vbbe8BAcZobkW3aRXQKnab6d9BfvyeUOE3M+p/Htzykba46HXaX/2VG3
5ocFAx4fGEn2b0+DtGIeHtzRvUC9Mo6EsZ78R5CpUZ8cNmlFdU3bt3ExXZgHlR/Nzwf4L+NUV4MN
M4Rb582bJme73XsPdu7guCS6B/7qtzNpAlH44oz9EZTIuizQcdwE6feWYrjdQLQkyoXBtsk702qH
r0lljy0LGvA1xKh7haA5+x2g/m7Peg15brKst0gZg2D/u27ZTg/sJqjnGiUND1Wl6y9Hzdn2hHQc
4jWEVp0fQ5HuqEgBi8zjEazbB4LabkbSinIvn7YjlpdQI4Y61TpzFlyd92UpRptsj8fa+huDbDX+
1gxCNfcno/N7Vw7DYh/5XDVlgdzMc8odiP4bAwojJQ+N5jhmPJT9dRAc4j5qACMkE/4ahtNVYzYa
VI0i7qef7GEIDhJlb4PXu3+mbE5eA5T66/eeN/2Wdd9mv/yqRTzuH7LNbo2r6v7RHsE3YpU26XTx
kd2i8Q3oVoXyIXt/Hg3I0u08T1N266kEfiHUW/cr4s40vnf06rcXJqDKP/kdRApJRdnmgHM51cxm
G9eNvW0j8KiTWePtb0ar3YpFKEWpXkZ3IAh2YtWvPG8B+8f/7aFFkyjzuFHr/0g7sx23kW1Nv9Ah
QAaHIG8lURKVo9NpO+0bwnaVOTM4Baen74/VQKMsJzJRp7Ev9kWhKlJkMGKtf/0D9IuaTvhxAUBS
B7y+6nhHpVGR3dqs5biDFtvhjkkkHdj9vLkZ0HeNVC3NSu5xRzG2JdSt8bCX3aKAwpTQ9j7huWNd
pdtJUV14frM3OXC3Ehbd4EEtzL4B9uFQXmI+wWC/ZGCY+6KtfEX90rT1Hhtk/kI/aMzu1zrntkg3
frRewi4QrthbwOJfs2Iqpx0aUFuEWqbSues7xXt0esyb7/C1gELdBKLpn0sw2vW4kFGy7cYAUA5l
Rl7uV6+vy6MDVWWBikl3k+PkASeK+5pLcPTcF6sBaNpT6VrVqTD6pruZxiJ7trqm6vdjny/GQc+w
dJnI2nCWHfDrh5UEDuNI2Hllh3WTJM1lsto8vXH8ZqRStUc4mjwa6s86m5b7GtMELL7aUuGuOucq
p+ns657SO1gu6EHy8gXFszzjGKqfWjuFPjS3TfN9cmX5i1mk/0w6DZC4FjH0ewJQ74TpFg8lyufH
qVZDF85MKmB46kU8lRTCzLwZdz85I5cQM00skKiNpm7Yx6WA/mzqfjxOdW8Ht8CUljxoP+2/8TW0
XKVAAIzGrYlUB0UV+rXyxxGxxNJBh1sS1/+VzIFIwjzri3kPMa5vzkHa2r8qA3pr6JWQKmgkydzD
OrfNG495dDH/0EgAvsw9d8Q20/b6o7O2hflgLZzze8YYoovsTMfrqYCy/hWWFCIIsVT+s0XycffQ
QNIbgKykNYGz+LF60P7CId37IzZ24+y739OsyOUJqINpmUr67GLLJUDUgIN9eeZSH6CeysQMpSu7
KoTTCnmuR4N5s1JZLjDtMBi8VFZgfVBDr85xrSA0iTbmRy3ZFFPIKNO5+LLilLU71X8dK0OYR5nm
nO/07Ryy/JE0SUVWeu13iwvl05x6fbdPscexQ9NNbf9cZRT4IWoop6HKqV28oeJESXQvDcyy3Juq
n3Pp6y/LYrT6YkhzioohGZ0nf1j9xWGwnK1/mc2ErMepBaOACS+xrx3sfPdm5eA6QDDPa1S5TRsc
V+3Sf4Hdzml1tIzZypAwTPoxNYz6Lxw/6IcX0+y+qazM1RGqFnzlfByB9lXdKJf6vDa/EJ3Wp8/o
cKZPdCho6mZ/CQ7Lyr0Ja8I2Udd03MMLpfoPog6n+WAozUFGQDb0LNP2oT9XtJj3OZzLT5gKMG5z
2rT9KeGqDTu/CJobaStStP1YA+b0a5HdAH2wf3C8nfu9nwr3G8Hh+ecl8zO56xmYpLtugeaB9jpb
x51Tphk8rG14eOuTPTOHVtxTV8rBgimO6Boqx2QbAgSlX3D/GnDSeHbWKmFuAU/ip9SonSM5Tis6
anP1uqMUEMX3sTnb7cmmTIu3uX6Q7UcGGWFrpFRfONirnxkfYnoZamRrgIlClAdjsjlgtaGcjouZ
kva2qhhpwORv4ZbAKIRAXwsagrDsfaMPmyCZ73FOmrwfK08SnxUqRvOmkU6FSirXYjymWaDt0Jvs
pTiXcnZanpfLGVGu5YDiZ0zn7EBbg3/9bqaQ7Mk8YRYCSN+ob3hvIfriVdjZgdnoRjhqzOCH2cC8
2sEcL7P71ezLNjQ8H24XFYnj8HCdmrO5bsdYHzvEMv3ZNwDdGeWusGa7wQJj7uG+9gcSRVQA42aB
4ptRfiPcS4gRC3H0FlBb0uG+kFNzJ+XQJweZDom89ezF+mHPeBczWR0n5wSwNC+nPgum5nvRy17s
sxGO/GVjizUHYjHAQID4/PHgGQkqL0oL3z/31pTnd2trqZ80x8sT51mRnVDSZHdG7+nmNM1J5t5A
Eg+esafKftaDXjA5g+XsQAuuO+K/VJ2ltJRYeO8qOXI1w6qqM7oSaKd7xAbIkRjfJoBMijbxiGMa
cX5tZnM1Q8RzV0K1x8F5RFhlZcdYDPktNszrEPaUusV9T4dxrLWN71ZgtB2nJRGIvwjxcfILxMPx
JXDi7N6h05gP0BGHvxPPlC+Njezq3g+mTp3Xzhw+yHK2i68mCMT6aU3GqTr7w5IM7FFUJIdatmNA
iVDIPsoTyd3C4Wd9mi1cb/elU3LKUexz7HIDanxF6Zp63Git2jkZk3aMA1qF+gkAO/uljNH42UDj
o6/TTBOhDurqu1HVVIjSIrvgzMzIy0I3LQvKp3xOQ5JVt5GXb2cQlKhmbzsQhfrQmtB00bbbhRMW
ljRcUPtV/qjnlOGdNaIUonppi/Uw16hMw1Jm8AlHbNjss2fAIDnlehVfpYZRdbAgZpcn05PxD2/i
T+10rHE8Yh73gGoEqpWeocVsbjhweYaqXobIBfs+Ft4ytzAe2EsVgri6+5LmoyEY82wOhJ3tTvOp
BftsORQq/zsaYvsD9Arxg1N99DYuVZEcARvb9KOVmrqB288dPXxIi0kxwYFlGod5NS8T14+bFWdL
JII621toLqG51+pgAI+/qDZ19MleaLWYaSWquksFISpo+2KlH83UbfrD2C7jbTEWNXxTyJG0TjaT
wDuEF8qEFputDP8ruyFZ0hkyPZ8NC3h7B8JqnUVTeiY8rxl1D6KNPj9gCFTfuHndOg9kTqTd0TM2
GKYfg+yRP6j+Bs+Y57NbmZNRry1WCqRA0nLz0Y5nhh56HQdovljao4qZ1NJfcqmCKgxMGGoFeju4
+JiV+yfOOHM8GykEVsgRQc/pCFj+DEF9oX52W5HcJZ2uh/spWFeNDlKusBdM5BCMLgY0L71Gan8C
04/lE39UDX6LdCfeT7Fpf4oVg919Y2W0uzJNgxgyXs1hHKRQBhdTIzsfoQ/cxsJw5bFG9HBTFGz6
D9LEOelMnw5Bnx4LEp3XWkb8UhazBg+t1fTLhYiwRrRd3XwyGPPaF+jyFJpeXdhHqO4lGynPijut
rAl2Khz5Z9RTsL/Yp6p8ovgMfkJ5LNANy0S3eyRdgo4Vg9D02WvT5Ds8I7kcG6w8XToJsvlQbDlS
HNvqn7YTpzyb7w7M/aeYmm7awafN78CIuuxC0kM14sdV9L9mkYJyAwbB+28xDWQDtTVvO6NwX4+m
q5v1oviUk0PpZNljllQ5Cg3Jp/yZ27lGCwAzILlLYUv7F4jlmX3QBXJUyJKMcQ/xMrQ3VWnn8R4E
z//SYjpVnNAOUsnoqsibSHZWkV4skSnSNQmGQKDDiAn3TKLPwWZj5t77rnT65sukCr4yIXJMLbFL
IwbBrc1hCEG7/fIBoi5u+968oE5ZRJM8EB2nuHXHcg4ZAjhxWOUTEHdj2P4nctUVjJR2meI7PjIo
Flsz99FMHEufy9WncomlzxHhuQiVPMS+/qG3eq7+wG6Ud6tniexAAgNw+FqTvJsKb33JOhe+XA8o
H+wrO2bqFhQmPY3Ix+WxYh2eCkqFjA+4oRMphKyzvQl9wA1tkjemsLLRBYa15YBQqARcb6c7mFZ7
LxFOcYKOU/hHkfmVc5oNhqV4ctXdyfQz6LVtv9jZ2fHizDmOWWpv/DE3fxiGKVZw3AqveVirLqs/
8P0qL4otY5ojhBTAxaWjH1KJknavmnSEMMpDpBbHvkqYjaXvcAia/UvQdPV9siBoj4IF1xHoL8VK
D5EtPuyXOP+1onTtIsabtE9AUkFmPlaG6zc7LNYKh92Wr+WhGlJXHTrGqD/6ilF+KHtDdftWgiFR
Yq3Jhx5dwPy9HWxmZBkVWxHGkEO8UzMy7To3YyepHIlH+GVzRaLxkOQzHUxP5PVp1M44PQ6WKjzE
feXyWU74+LOEV/kIFuzuxldzYp7MAd7rTq8J4wksHzjY6wS9IjhUy81TFVBhdnPhWfyhcc7cA3Cu
hK5sGt5fQSqTbp+IOc32fre0VlhhaR3NAcfnHrYlNqfuKryO+2vu+k/9mKwecyrSlRRFE6V1l+jl
U1/E/oeEEY9F6QCl/2A6A5neFsQk+M4qRfZcY9+MqqN0+2nnxrL9ziiEsX1QBzY9rJNCNeThZGAW
1IXFGTK5VYTClitQjaedjCkYouIQ+5xEHq0O8D9aoNIAWtXQTynBCrMHDIRed2jllBn7vOi522Kc
H51oXiGUn9258v9i5oAYCzgoT0J7bmc7XFW1fOIrZpyIGHPZ+dairJNd40WLocLoPLfwD9WtCqZl
uCStO37mA98S+kadhFWg1F/2YC+/oOtmKMhaY4ET5lM8exrGJ5eGj/6pycHbzUANTLwR1QUnY+7X
bj8ncbyGnW3TP7HdHxUcqV8M0YMDHMBNiwQy3b2sy7jm/HEetfBEu4G0ZEzaB4ZULeXhDOclonKf
fOryrvN3Kl459ewAi4c90ptahYR4uPBfWk6jw5xiC7+jqF2+jIE7fLRbq/86V3I5l9gUZZcWnPpG
4pS2iVgnxDclQSrweCX+/2BacX7bwoF7EWnn15SWymqgYXNws+VlO4d4WsUgmsStyLM/GX5xWOwU
aVAw4byR+pAdTg1EPywdjNaHkeAn9SNBYe1X7G7Tp2wpjK+WrhnsVJLb5BZvrNIOASpHdw/x3b+V
+YyQhMQdByKUSaifXUgIElUspvM2BGW0B+keXB2G3V3vzM0Pk/jjKdSzgxEBhgpoxqWvEu80k98R
gAhCOXoaFi+gwePu2dEsBZ97uHgZuplYe9gMxe6zC5s5Z0Qj5mdZre0XzymInbItlX4fOPXmsAR/
/tEaML52kIyT+YQrvfmdLYFzKG2KSV8kp/kBgwlnc8xbXYccka4owj7Qff9IzksHqdperZ9eu9Z0
I8zh6oOSuGkfklU2HzPcf+ywbXTymGEh9ReXufQOhi4XQSNt2TBr67L8UTOpm6Ggt5K+Zp0cWHZ2
wUirGxV0otWmmF8bNKtwY/3CPUtBc7ZP4d0DHgk8mHdehz/FXlgpEw1nTgI8KjLsjAYGNPpUJGqM
ueYn74Uk9gl9i125D4lM6IWsPLBfxlgKcdJKzh/yrEzKGw/iyi9PjtlLbzR8yxXf1j8Q6aoPON5V
co81UvpZKpWP5zZb0WvIRAZnI7DFdI8+jJyvMZg1fEqR2cvF92CdUjyOoCGqIMN0Vwyz93WZZmgC
sw6G+FQwlr6xEO1lx4b0FJPSqN9gYwSRzmk11uVWt8OkI4EELzh4BU0risMpkDdMSfuKj7DlrzC0
AohGp5kXzEDxlDi41pA393USY3HB7jU/FZwW9QnKFllPhl0s/VPh6fyx6Jf1p4XaIZotVJXbnJxA
+mFUbUJq/OKuiJN8AOsg9gKxdxqqgKj2WseEimLgOedkaZGcXLwZGMq7jkoOs0N9eQKRT61vcz9P
z8oZjf6IqNG7W4ek6k4elhBfM01nAbzaVE8QOutpN7k8OLYBTgV7bkzcNqbYW59Uqd1lB5CwwN7t
DHzYEsuDzaKNhZaHbn9JzgkYZSjMmQl/nlWWQ+Eytn8NwqdJGKAWDLth8maHbmeNP1S6so2jjYDg
p1mWthc5k7D/1mvjVkArnvkYr0UF5V75+mWLkIYsgvCfUsGpA/eyQrQk6h3XkIca7yqozAyT9GVp
Rnc9IjavH30AcG4NHEi/TwjoAc19t/8eeFVqRBp47WOLPiHfIYnO7gdYxDkzoMZ5tIDC2WWLzSxA
LCqL79AfZug8iy546K2ynE/oMgnhFdtEBgZN+9GwBoApsxZBGrpD2fL5GN2gH4IpmZNwmUqixHqc
39WZ44mKK6gsAn3ZjiXRQbNflOwniZdIVsMdSROmY5xEg2+fGuG48Hf+QYiqTRkKtsE1tV/Qd9+4
ah7ZcRUsJgqnlEkMHi4aaqDFzOpH0aXBQ871hjsMF8k3D3lXd8nSOBGhMUvwBwCJyQ4lHiPZAemt
fBLxakF5t5u0Iq6ik49D2nLK95oiz6ha1LFY4sDbA7hgILdjnpDYh7WIG/A10cijyVwKjlOd2u5e
M3sBfzRN9USRRiE3KdNC6tZzTJ1W114eSoszdDcujNEmN8+2EroDb15HLwcZU1m6z2Z4wLsxJkzp
xm7Mst/kKJSSP+hppMQRxBUPPGfuEtc1SQxDT798cPDj+hKrtsd8IbXh4a8ZJ8gR166hu5h0ME/J
JAtk+G6TQRFCUDXuVA4d/Q7YASAsUb3zOfaL+HFI1vjOZFIT3zjKW+Uezw1jCoNgsqrduljectMk
Dv5p82BWv0gfbL4aqY4/L5BH16jAkesXw4+MQLMaCsQOVHHEFbxNwcasOKhusYfm0LWdMf2Bn1Eq
T5jKEZa4LOXi0f5gixAZsmkf4rS1QOA9Gq/Q7Rj18RrSGh2T68X2WRqQ6NHjeytsxq7tmEEo3zo4
ddXuC8IG3TNjMUYVsGPy+OCs0oe8BtOZ7I2i1PUTmgf9uOR6/GBXqueYhtDew8ZP5y+ds/Un6EfG
C14M0Mb8opLTDWdcbH5kNyKk8Ba7HqGsua4VJjFgCUJQ+Gs7GtPNeN8cppvYn+FKuoaLWybDu2rv
+YllJruCiKW/WybsG2UNpfEO0H78qi0fBjh9SveUDg2UfdxwbhQsKTeMF0Zw+DYl6NFiO8n+Slpt
zQco41i/bJ4ZYrdC+YiPLrjLgGGAHXxxY5F+xqpdfSzmjA8nc+rhvHjKNBnDpM4NAp1E7HI2Ddb/
1Dt56BY2rhJLZgYnFeT2LVPZoSaNG5j7odYlnByAavd5CPyx3zXa7vgQoP/EwAkJN6ZD+djfr3HW
BrsEsyp331v1puJOqGtCI7HyF6/P2/XYMmjRj/yp81PH5YQxv9EGIKieaw/hitwAPiV3l8fjcplw
Vs7af8byielPWfrNzz4YZbezEs/nqig1yg1IHHBGnG6ACZhs4Qj73I6r7NSZM0wfTHGI7gANsvt7
sQbZM1C/596zEUs8Q4Wn49BqXe40wH9G54mGbQ1o6bZJaBYTjjD8q2MbYn+Mb0EuV6zw0DNi8s+z
RXMFfATwirWDzA/dOA35scfSNqXBSsd7IUZzMxHw07t1tQ3/YxI7y3O1fYzAEzldbqMC79mEAYK9
gdsUN0nnlzYOO0H/MjL0nE8VGvv7iguBOLWaWNiEsZPiatDTtwFr6L9xTHBuHaNysDaSfuzvEwcS
9QUlm4mDc6PmCHci99J1RC7uELbAiliprNiv9PnuNwtA9IsFQ5OyCc4RgCbyTfnRE6XdhGM3ejjd
cCHve0RGEUYUY3vin6XFrp9mxDel8BrzYKMsqo6+o5dvpZxAttcxDZKDoAOuvgHK+iES3w3SsTvq
Zto7wz5DKNSX0R7BkQy/dalLpBt8Z3omSkT4VrrdD7hDo5coJ/sZJzbz49yL8qfBPvnaV7O6S51k
2WQjMSeoGy/1T4T65qZQtoDLAkzs/k4rgzA75i/evFu4v24CdvpyUzpV+WgUeeHuV3jB+c6VUA1e
cMZIULuRQ4w6DXtmcPuVTpF7hmHzYZib6WnO83V4Uozr0E0F3fC5ApOEGooR/QsMi8k/QR+zW1hA
NScloZDS3bUtjed5MpXRf2MwbtZ7MWVtcwuuoS6K+mo9ddBiRJiaiYGkAQoXJj3VnH6gDhHfrCSm
+qxXaCNwtgc4cKuZtwN2OiQ/7FrmSgpY2W7y07oGC4qyuqR4bjwzYM+ltUOZzAE4HytaOE4B1VvN
AzTX4h4xTZffTk3pQgUyK0hXRWLXsIVzJwldsOSGEnLc5qAtLowfcEFDuu5amV9HsGQ8ew8vK/6O
A1eSPzba7fIjURiiDjsRTJAyfdHeE+DctjsrM/mrEdoIcRE+9G9Y2n55Kq2qTC8ApIq6jXiiEVZW
v5gvg98Yf9GN1zzdSckPi1c5UC+XvPN22Ebq7GML9etoJ/Oiw1LMdPyrGHsIsHasjrDq8kcLpyOs
opRq1vusbW1iZ5HaEAAH+zap7v8HZqBnDNkwRZ4/phfsORt5N4osDnarXGbr8D8itjsHUmwVrfFI
UpZV1U2N5Y5Tl+GEK/B8hIVuKv5TK6QElTfLuemWWoal5sZaNC8O4UQxvePu+YqRqEeBg70m7q70
KNs//5c1LsPPhUFPoyMMo8295SobXgj8XUGf+Z459Ga0eWUkikkIGKuHFSX/uzISzTe3UBQ9OtLY
JBxiTI/CzBP+/YI5zB6ESH4z4pV+IqAOZKYN90xRjSMEzO133DdfM4qUNtHxjIUksUxXlqAGWxq4
zNRRL9fhqPHDxCY7G09vm26+4oHpSczhfGFvqQ72lR2lkQDjLrQhkY67j7zA5IsNw3ybLRoR+AFN
VFsiyH57UevVp4wBvgWfmfCg60yTGgnkFAM6RtM4Wo/QGPyTIyxj7zCQOVJ14VwEvyasem89NFPR
7gg3DfbNpN4L5X1ta2Hb9f/+kM2T9F9bC7elTnYeD3msKtz3oFn5vpXdIBcd34loffV1QtcgEGoz
dv/D4dWbvVI6nY485scn27fdew/buHc8q19dRTqSp2XbENuuXucIP0VbMEQjQTor6JTjntXUueHb
7+/VTfOvVa6cse0h8WBhzTpqEEVHJFQkoc906AtOXPUl7yBSUvON73wPr7wqIn9MQkwtU5IrfPXT
CJAPABodHUn8EEO3WYZ7XUwx5m3I/t7+fa88RbigsGo86Eq41V8ZoGvMluCD5DoiqE6gnx08/whV
kuH5f11HsBtMm/QbCyva68MmrTnOIbGw+/LevlergCq6zsk7e+JPX11WoYy0HYlG8g/HWcwa4YW7
7LwYu8Wjr1rxKQ5mY76sWS4icMBYvBPNvr3/3w9R8qiIlOTskhjIX+91QdSJxI+ojygR9OfUpc0w
8rII59pLsFTevP4LT+H+FgvxjvHtP0EdV2tLQhMCD89x8lbl9m7//UUzdUEIlq3RMBqeFRUQfbFe
coyABriphYpGCe8w6jT12JmpgNfSpljuRWvUCcfCDFr6qhhNMTN6fFvcUi7VHklE7J5r5LSQCCp8
QJm0+kFyqaTLFL6B3r0rkeRXIXFQMGQrPE9gCpar8yy71W7eOT7/3J64XHMxODBmHLJrrtIHraBU
WZaJJUr9wnvGKAoew5qaH97enH9+b9sq237hhCYc6ep76wqjcJhpLIyqsBlIjWlAXJiKaGrW/vT2
Uq/+oMAL/MDBQhFbpt/fmYlUdfUTyVLkZYeFAzK7UQff+apf+0GEXJAgZ3uOB9D++yoYSAVdFziE
DEIm2i+9i/XBSlOHZuG9tMFXPgCQTRNsla5HMpX7fSm4zTW6RX+OEhoktSurCX8oPW2WRhgYivQW
m9X0+xRoaLeiNJb0nYNl++9ffQQ+y1uORLLKXODqAANNzSvttHMEXGIAIVbMa9UETQ/E4aZtzfzg
2eq9EPJXnq8PAuiSVMYxQ3Lz7z+6iZssl0O3RLmREenhTWUoOz2FNrY3//1VstSWk+CQ4EGQ5O9L
JV6OiXzB3syd+cURs0bdxazXs53qnZVefZL/Wulq0wytgYWMrpZooAh9grvl3deBWpDGiDFqcTlh
Jut7x7e/h1cXDZgm2gTpmFQcv/889HA00D6Cjh7yxg++mORn1dC8+LWw7ipLi+8Lk9cfby/62utz
uPMcHqrjm9d+4cjWEoY6xRQlaFwubYXGynBQPABRd+881NeW8j3hwMULLIEj4e+/D+9pWtSpmaPJ
wRR8clrER9n4t56n4J2b6JUnCXnCdBl7cBeQQfX7Su3iqHq0vCnK+3F4xEXUPi6Eh3xitNve+nEC
fTEzf779IF9dk6ggNGfcgTAzf18zW0AUrW08OkILrpj69uVNicX8IZsxTsIjwMT+Z4FN7pzfXvjP
i962LO4D8mhNbwv4+H1huHB1gS9Sy6XnpsinGbaXZGD8pSqt/rYxKUneeY9/ntss6Jgu9yxBH951
aFbHhzelom/xsjd6eka85Koi6995h6+vQklL8Sw4u692i9XXuDvOQxtVaoY+EkDb/xDknnjnx/y5
KfkxZNH6XK3iz9dmAZ06Yzx0UTfhZwZ7p19PHnjidEhxL/719qt6ZTFvu71J5cLS1/WvXhXTrUW2
WTpEGO4YNwPxg8d0jqv7xWzeC1zatvjvd4GNBSfVkGdtoQrXyVzB5LoMFOI+apq+Hf7Cr5kuSuil
vMegENb0yPBxvCDyiR9JMCrpdC2u+rd/7iuvEBMkPj/udsLgrtsSHCDXuABSjdw41bfmoKG7oDf6
/PYqrz1UqpWAbo78IPf61vOzVREvpXSUViI9xmv1HeVuFUoHtvHbK73ypW3fNmHfkuZVXP8ehgtT
as2yi7x8NU969pMcDBszaGbOoz5huTr898hpekKCfE1aIK6+6zuhUYQp2FgTRGZnzI/cBrgKeWtw
IxDmHt/+df8UkFdbhguce4dPeuOvbifcv2polH4pPBhMkRy0n9VlC6zrmJgjz9mhqnAuvdupv5HG
Tt8JIxAh56D5LLD5fuc8e+V9smGEIILEpm67vpFgNs+iFRtvAU7vM961jCn9rDfOSwW9/u3f/Mob
DWwMhznOSEXiGvz9J0tZlZ7OMh1lsLtujKlxP8WtrhD89QBF2ECSEXP4r0s6EMg5Oh0IKgQJXZ0B
MHXquszyPiJiAicH1wuZvfYHE9vzfT2hWH97uT+/QZYjhJFwFZMxoryqZNYJuCsd/C5KrVRHGF6o
k8FvfWeVP98Zq1D2boFlJljd1XMs4RU78RR3UTYE6z12O/6pTALI1ZvVy9s/6Hop3pQpPbA6bh6P
1Kyre8FoHZz7tcEAvRvbS6/sHqaqVMfEzf5rwfLPUnzsto/nYPBHZCMDGFhkXWlGJInUZ4qWF4SD
06bKSt55ftdv6XqlbZ/+69OzMHAoikERUJE203HSsXdwDOw73n5013fCtgoSGpM23aLruu5Pxnyx
uCm0FVlUIziuut5n2w5kRM0uw3Gw8hBXyOCOzJQ+nPE4fOdje+VHktRl821b1Cm0Yr//yIKoZLKL
sIwUkC4uteHrc7aJDd7+kdefND+SckhCeEHo6APk/L4KZl6ek3GyRHXhok2v0KFm2HiSI5PB6iYO
5j8m+2zr/d8aRbAnkeH8vp5eDaqh2DAjBoPmuK/WIn/pOokf3du/65V9z5OjDvJhyZh/3AQjbJ/F
qD2BeoUMV1TT+YrH0gCQi8YGf4N3lnvlZcE85QEChwXIwa4uA1e18MbRH9A2u4iQ2jy/5eXK6O0f
ZW9P5993Dk+Pg562Q5iSILzrg0MMXk4zCwuPL74PPmeqTgE4HNU/t40BB8wn3S0DU0nSY+30C+kX
rRBctysumfBXR7E3kszC8MTXMjsmgdmd2dtWv+/8AIZzu6YLKQgcq8jSmed9UF09GAcMdbzHFa4O
0E1p2M7Rm4os+Iox84IbSiNG+NfoCQRDMYJOLnNsFnqPg0yd7knpMeGOw/hc3rl/X3vBPkltlsnM
QwJY/L6R5kTgO4NraZSafh6t6A13uVEqwATEZm8/9le+EWBTHjtR7q9ASXmOkQV+8iu2Wen4RZJg
EyFHmw7a0c3f8zK+k7a83TFXL9lmdGDzoWz4yHXD4HeTrleT5Yjpw1doTapfBE36nxKSKvaY34oH
vD1Ifq7IK3n7h/5T/P2xtEurQscCDHp921ZlkvdtC90KbDdxb5rayV7gQwRPo+G7W9aqj6ddqpOH
VRvti6h0e4TX7z23sRJfJpwQHkYgw/Dtv+qVN/0P/gtDnYfyB1xfzZaVZIVDDCoC7XPSDf0F3w/1
CQZd/s4DeH0pRltMX70N1/t9UwXOipWB4fGmBxPPSNXB1nGz+k4ZEEz+F79qQ+kFIBDn+9XFXI2i
JVed2xIjE7RLmGQPh9JI0ycU58Pj22u9soHtrX/ygLgdgqavfla7UILkvb9G8APW4nNCbfdphkxw
p0tMgX4KsRjvXF6vroiScUOebP7vasXUqLLEKuo1sqZGorHHUhLWG0kvOgGHLZP3kqmv4QQORu5J
22VKQNX2R//Wj0Yj22JYoiJNxGEWqB7HBiYV9IwKpmjy0wxs7z9W3v+syZ7kIKbiYfx4tVlSeJxV
4nIA11I9QQ5BzwkF+KSmMvv/XGq7fv5V8AyK+XUy+ku0Cj/PwprwgQ9VATdoZ5SmWN7Zmq8+TJdo
WenZZBpe1wRYBXt+Cg0kCvrJupkw+D9ppyx/beT5c7I2zWd8cZt39uhrn55AxeUww2asdH21baS8
ZtKglS6io/sZg8HT0HQZdkhouN/+HF47YIHtfRZzfE9ef+V536HzroMZmb5gSJGo9oxM0UIuWeD8
NVH9EItFSikE3HdQmvdW3j6bf79HzE9zY6n5kTAT920lYT8FC6aicx2cndnSf41pD6eg81T9ztLW
a2tvM1w+NqJt/etrpXWbkQF8wVsdu05xkw/xCKNxycYDNsG5vydqJJ0PNW3RtPegGEcLutYcC/44
uOCj5Vs7EwFAuvdrJ8HiGnU07mrLHPu7zm17wopWMaGLnvD9Cd9+Ya/tDVAgih/mEs4flXiVVrG1
YHcWtaVfHqfAkAesA0qqR9N/Z++/dnBRUJiCOo5z67pfMkcsnp1pXaOxa5djotL+TFyOOpjJst6m
qVpOb/+01741rAIZA1Lku0C9v+8I6MB2kmD+Go1BHIijo219B7clTh5HWwk/quLNVcIq+uHp7YX/
mRdd3/UwRpAfcNVTKV+t7CXccyYGF5EyZtHgLZE537uAFJhokK3fnRx4EP6RpK4iC6euSHE3aJG/
wLOc3ZcJ24T6AdVJIbCWz5AzxcqZ/EOzZFjF+9gLFMce7bd5Vu2Yf6pwQtu8cuJGI+BIu+QCB3/9
lLejCUdpcT0opLDXnG9Dghx7jyZp+LkO64pfhA9F6IB6pn1eplzCaPbbGVa+xvHuBtccm9ygtx/M
KzsAtBaPsIDbhCr76lif87r30OzOlPJ6szFrrNK4yYt0+gbdNi+PvdZZe/zva1oSiAycH8j/uu5q
yJRIx8EAgVdo6w9tUy9sO06GEMJrbCFWHQE9/jdrMoF23MAG0r0qQLoEdHjuWHNxZMxLsCA0/x/O
zqNHbiRNw7+IAL25kplZyTJSOalauhBSqUXvg/bX78M+7KqYRBLamUM3ZoCKjGCYz7xGcDecDGkc
X3rZ2dlwyxu12m8ALngqZY3yO32NjzsdgUKtDxCh98Mc7wY3ENjYeAbC3XvAmY0jpVObNkiRTJO4
YPUBHRRiIZ7lo6+j9hChMCErEto+OW6laLWmyPxH83yftFPy4/qKblxTuo7EMvEz/6Ap/HGG85C0
pmzQ21ORGccewown54hlj9Yfe9VQd9qXW/uUPaoYuoLcDfW4j6Pp+YhmLUQqvxZzh7aRQAhUjyV1
PFhiRq/ERMB85x7eeEJoYRhsUZJXijyrLWOXUSi0qJ5BJKGq+SDShR5sRqkJ5DH/YUrSg1VY2ugV
tgh23uxld6x3D+3SJfxXDDyBV0OjhlbILempz51Sn7n8s2MuAOg1tp74OMrqZxPbqkPRJNLsVn3d
7Kz21rc1HZJrjAo0aner3UsJOCc4V7gVRPFkYyXkY3jwc8aF5eb6JlK2RrLQEF9qPw7x1/L//xEj
pAqqWkVY810Jk9TPUWJQVIV4IBUHVHroiLjOnFcPmtXBDcbzpfhet3VxBqRlf5XzQgOFCLPxJ6eg
Nm9jcCvCR1qZOtL137lxnHmucA3RVaIoymMffyYYFWE5+Tj7egR3U+0ESuAtLOSdUZbDuvru8GVg
11NXpMq9jlokVcFBEFlIX+HVz26CPu+qO2DX4W2HPxBE5X5oNHg1SnJnYcSJ2lNYzN+o45a4k44p
1BYA9MWNbMWA/i0Ixb9aGWQ3SsqqhsnJrFrCQ1EMNT/0eqCYkGJi9RXkE3SPxHES66cptYjaIgkt
q3fkh9l0ttsa02VTt9IBIdPcQiW4EhMfKU4rBPgFl/V9P03Jz1GPqic9DsPfamXm4hAMSgh7N8CA
zcOsFKMalPKbWw1VuvCQS+ZU4JAzqLea3ObFt+sreQEnJF0xqd4rSyZIL3KdBGYIxiKWEBqk0V2s
vhMVVMO/HWI/b/Cro/ZR1ludnDfuzeGu7kYUQws+TORRSJt+W4DE850HaGOjU9HnKFGfIyhddxNs
BYHLrFZ0XytBvbuhoXwhy9cf8R4cX65PfuOuJCek32WTjzL15WL740zJTlMMZWXgrSlxtyDlJmqk
dBILj+FQwBt9ps0Q/X1CQxmFGiQwGoZcX5bhHKsx0v8aahC5aZ4JG5z4NKh40Pwz6Yq1121bztvq
oNigggwE9JZMfx1CRO1Ec3FWND/X4HBrsBZuGhMLAJTX8zfg28Mpl6un68u68R6wnygemzq9DGUN
FiJ1tHpRRDpdbQv8KUJHKtbidj48NrVD9Fz3lKnCOb2DAh3uAZ43LiAM6QE7At3hSnZW33TIZzj3
+C2CSkWhG6oT8llIqv/9NcdDDjKQTilEkjVSbojxTkmnwvTTzhjwprSw2Y6UPb/7jaNgL4igBbJJ
C39dFU+E4QQ6AZk/In9/cNDywmpNSEetpHN4/Ztd9C25B8gBDaSqHEdh9ZZ1/eMsgMOHuYtFs9/0
FuxyMzfudVvEx1gy5rM1WROV4lz8o3e9dogkOznM+J7srOrGeVwQJ3w5Crf8ktVvMOEgoCmVWL4B
7egtSwyBqLkSnEp7MN7wCQ/3GsNbswZUrC91PRVwrL38oj9mbbeZWUH2MZdot8DQ3oAuMxdQNB2j
OtBLwrdvwh4nHUZUWMN4wJxxtnYuvM1Z20T5hIj8mPVxSSd5GqNMtpDmdPRTCivXwy0HvSogBYdS
s5K9lH/jiDgyRWuVO3/Bb68wkBDfMzMJOsuH85TYCIQ4KUq1enEQNtYmVqUvttd2/AzwAeEoW26x
tafePxlJ4/aUfA/oz9s3MRo0X69vwq0fRt1Tx0dKRSVGXgUPSokE/SBLBmfX1p8tQlzX6PpwZ/4b
VyIr/X+jrG4IA4EkzNBj7C5SpF559r7jS6++jYP+o0cA+LYdhLYTpv7X6Fldwzw0dKzp7EKkcVY7
G2l6QnabV7Zq8k5yK0vqmlNZjBV2KDgCuwIbF3g6GaIBnwv0LOAqVQgMPagJmsL3qSz6b4i1Tmdc
boL+W5xJOn4PaoEAz4RSCiIhILWQWISuG3rNMKTPgTngZpSqvelRH13Y8lI2fqWHI+GAGIatgTuf
0VqHGMTKTZQKNNg0rH9hHCLjj2VMkyjBAWcSI3i2gxFcUqktdcUQKH54aAe0HRDZNfS9Fu7mgdQo
9cFHheAg6+rHA2khjoWOdGtSCisn55QkBG83TW3J0VlJ8Xx120Z3JFeZYuusmN2EAIMK+hVCVhSY
N9e348b1u7R22I1QSABjr86JE3fK4vpi+jOdhmNihtijJSrmXk4u79wBG08mQ1EZX6DmS8fw47RT
I4VmZKu8WmEc/UrhOKFbXOFPGDbTA8S38dyhQ3BLS9/YC6X5y+uduaAaKJ9xKdB8XY2cI/2ZTLPp
tzPib4Wh9p4+xnu9sq2lpAdKlkiUhe3Xav8jvzilsW0Z/jCPmCWGSs7NlmhvCNV++fuPxs0GpcEG
LkUE+XE+uGXgEaPlvMwOfs9pGpc/gNxqD7EATnF9qK2LhFoxhtJLsEoj8ONQUoHCYFWxP/LR0m5D
Q6pfzTxX72OS7nt1RG7dMpud2GprIR2yK+ozHA6uwI9jhgmiawlupL6lhZ11lAjCci82+uqIvkqy
kxxsD0ZeABqboFVdHUa9ceoc+x7Dj3Ez52YoF/1yJTkj8aTvHIDLoUhbZQJGCHmEx9pqG05xbKR6
z6XsqNl8VzcTctWBMb9Uc7RXy12W6OOOXzJkDVMKCrqEGquh0HtIuVRVwzfg2cOO5pHPET08Xd8c
5uWRVpZrDIzuAjy7KN45fRREapdo/hAatXMz0rVQn4yuHKI7jJ+LDFs+p7tb9tWvApsK1It5VhEL
a9NXLAzlV0cHV+g1eVIjW6UkKm1z5NosZF/xUsNroRVKc0gCYX8dLRPuuRKpxe8ZbsNLX4HPPwWl
qVOhHIPg3czgMrqSEYVfYIqV+b2NGprtJh21RxeShaR4dh+Y71mXGtpNjEjgu2WgtYBKtmT8i1Ov
9t5g3PcZX1X7p0Bdt/RIYfsJXrpaYXxYW+1N5FSd9QrXjBJXOs91/9yOWVLcpTg0PM2FMaSnoK/m
XzgoNvk5KBHvP0wDkCDkNGv1dYAdDwapBuXrgewqlBM1OZxf9KwYNDdEJuA9S4OoP5ZTIlAKIWB+
SCvJxEQvr4V8iw8jmoCKnMtuZy1y6pmpdebOM76RLNN45wm3loSRCsfqQMRClnFNSDWfKBiHRmSu
nPCnXEe8hhhUK/pDX2kDOIo0wdAyMp0MPU7VGh55spS32a6cZidi+i8kXm1mgDOkkQqbWbHW6WQv
+gG1SJnGRB692LgxI/ORIEiGnvXYPNiTJY74OyN9kdC6KiXdOUR6lCA5pGn0mCTEg6gqv17f+sqy
DOsfRaEcZha5BA3Y1R085yWyklmp+no2dSmyIbZU3McFehzsNid8s2YwLOexiFFkaRE+T7zckWfp
Fm6OyG7zKh+Tkx7neFTu/LDlRl7/MJrKBPqAvClVrn4Y7S9wplOJXFVUlj2qZEGVHLNpqJ2HyZG7
H7PkpJPbt6ldesg5yvgB0MjCa0XHR+yrmotRPktoPWkHDafcClkIIX7Qnp8+V7HS/7r+azfuKRVc
j72gqok+1tmQgbknlqiNRrM8l19SHEtHb9IQctxZFedyUSjAgywG+sto5uoZ6zuIWHYka748FM63
rA8xcADE+VkjVEXbBruaHInnAQGisc0QPaqxUlB2gAGXTymvC6h/xEcoH4IV5Df+kYdJcL+RCaq5
k/mXFz6pjVpsriI3gmJ8iLTt5JwzYJE7qcDWEvMQ0NUBHK+Af/44bFyh4tSKmeLX3KtY8ObJLYmD
unNIN942VdeAA2CwpdHHXi1wkMHkh5Oi+3QBsIlHNcV575wqfNJBSCenv941JBqEkhSk4Z6tryii
+n4sEMX2yyo3/AlDkKdZJOFO3Xtj4UgeLWq89F4BO6ymVA92kaCgq/mEleFtICNxA5mr/nR9Lstf
WR1XkBug9VSHUi8ZwcfPU8zCCrShHvwiDgLntzOoZnqAV6CjftlyAB8KetY7Y27sRB0uA0RjgoPL
fngxm6NtldC/lFprvw/ygk5BbsS1kNk5VGgH3k8lTn7XJ6otM1nNFKMCg+IH/BMKdssZ/WP/txq2
1fGo9X6fYmnykKs1WDmk+emdAGdqHlkenKywGhWLgGxIjxvFL+MYGm1ULSLxcHOGKsI5JM7zRDmE
KCqGn0fYxV+GeKbPtQA1HqysLvAtSKNKeY1CQh4XMP7iuZxy4f7QMFdJv1U8VT8kESnlOeXCaAFy
qbF1GrIUodic6Dp8zuw+N92o3Cdnbq09ewpcJuUfmS//cRWsyNEsvRbCTxJtegkwdMEoBGFB4CxC
PY3Ur7FGUerh+frqb2yzpTUHWp/+HLzb5fz+sfhRUSPgpoNfVyBRPWYh6ufoAlkelFf7ictK7Fy4
y62y/tjUKOlFkuAuJNGP41EC6wigAZJjq2o8DYXSviPcFXmoJiA82oj5HaBN7aH+VOzss41jS27J
HWSQOrDSq21mVGpbBQ090E5vkUFDZOzGCI3x5vp6KhsLygicouV2QDNsFWHXs50MdWXCUYs7JEuE
Ecjt2UwU1TerwQzZsGU6u5gVSdIhQ4ZovjNa9sRLhwlp6uKoHIhfTYhBwImLrkfcTG1UcD+lNHxR
saPWd37vxrbjtqSvtnCXLglF2IvgXdwkNPGQe6A9bFaPU5Yhvt8LLe3cuAkyvxxF5hyur9PWuFzR
4AmAPKvqGlRSJRrCMYj8+1JpVeesE/GT3pR4Avep8plnskWQtYm/Xh9049v8Vxun8rfQI9f9/b4f
UVRf+IOaPVcoJMq4O9m9fRy78muAx5R/fbiNHYfPH81Z3leZrvTqSDdFKus91pV+23ZIf1i9gw2D
XmV78Iyt0Jwe7BJtQjJwuCg+HqrZqGkHYmLpG2Ch58MQavGPggrTIu1bTNgiR43uK+j39kA10vhF
Rm9dven12sD4XNWnH9fnvfFtLUIajc9E8Ab48OPPGYNCQk9Wbv0Yi03svLPYeqrYxzeiU8u7FJkx
9ahkUfn3hZYlUuRYaMu3vej3zGkqx7QkYBT2CIEHAe6JWRq2556w4Hh9ihtxI9LL1D/IbSm0rFOP
yZnIVeOq9cs5UjwjNBW3bmTHk5NYnEatCm6UQBanmLN0ijDTe70+/EapUGFT0U3iLqVGsQZ0JDPY
9lithI90xhwcVKtDkqjApuAxRqwalrqFEBZIJXb7UYsznSprooRvcoTy786NvhHhWcSQRLDwBUEj
rO7VkSwbqUeYO2PaTQcTjI7p6tLYNYe2L5u9HvvGEeYGh8HAuQKKtn4myXeBbokWbtdQgtgTUXcm
zepcBw+dAxL5xU7auzU7iwuSYgZfm0j5416OcGarNCcRPkLNkLbrRsNLaCym8BueHK36+fp33Xgd
acqSnvFQsbXWo9HQr1BRbARssk54naQgym8opd8linSyRhSCR8UynmrUoHbuY0NlIh8fZsotS9jM
NJce7eozAm9JgjKDQATDL+Wo9oTqGD10+exSxpBpgUEd+TRn9vDiJBFGiqVuT2+If0vDAQxfQJXd
tgPzGM6zbaMEXclYRtnBgIDeIFpMHuZ6jN0JDwXlgBpU1RzbIUO8rg0By9zYaTkuKuoziqChFii/
cwfvGTQdw8lyraCyXpSqlTJ3RsvsU9Apxu/UUqToZIx0DXyNmslrGQYoAfdN0QH0aLsXZ0CA4uRA
1EAGUBiSxsebMKfsrcHpUf0zU8C8mJEdDFiJqOtEwfC7jBC48yHtCcvD98UoDg1ak4GnmDFOca6R
I7rshXVkGjvb7PLDc5TBclIuU8jJ1ggXM5kg+iHF5qOdXekvixCD8xt7rS66QR8dNEmUN3BNEu7b
wCVkU/egb9s/gLiIsoWsXED86jDC0s2SeI9NXSTPcwu2BpXitn4IieZu6BklnwB3tJ8nGKX/XN/1
l2eaeGlpeRB/cKmte3JxS69tTrUZzWXeBNlCZ1TGSM4dEFE5TQNh0fXxLs80AQdBIEtNuoPazMcz
naVWVOP2A89Ab4tjjIL50Wjkf0XfDd71kS5fwo8jLYfuj+h6VNUixrVC9gVG6EcxOh0GTD0i+LyJ
JzXCAsgYp/rm+qCXYQeDcopthXieUtQqAhXJBB89YnpqQBF1iDX7th/TZie4oUV8eWMQRf9Xs6Z/
e3HxF/k0COonS9c8KYavWo/c7XenLlPtR2VBqriT9UgdbmCbYaYu4gZ98QCda2TiMzQWj3qrOrVP
qJJSkgK8lriVOYn5gBmviuVvmc+Gqymiqt0MY7BFQK+qkrvEySiKh2ZadejvgK09cNF0td9WetY/
ElvMKvr/dv+r0gOYsVFcC7Sno2CWkP9XsMes09HqD3XUcrcqrSJQ/s4CPIZD3Ox6WDST1j1KkUUU
Cqg7Gl+BBElfzDhBGzPMwi68M3obUzlM5sPfgWml1kGvUKs91F1M51E3o9adB5QHvRnz6+SGun/1
iY52nB2X6tKMbEtsftbplUTIjojivSRIPOlGoDzZgN8fG378nTo4OJeGUSjjVolJWHuYZ0oR6HEn
SX0Podmg8Izm+1dFKHbqRXiQjUxPqJ8GoczJP+2MPZ1LZVxQaQ+IBXge86b6bied3fwUWUlRFMkv
J7ozUA6cPs2ylHwV0xQFh7puh/KE5Klz06uFJt4xxYlfEA7N0xvTRB36bGPcVT7KJUfmvaAm0DBf
qQqxZTRbkFxiVl/Q8kfLqx26JDtWY9WVj0kNNc2TR8OOf6gt5dHb1m54WiQWRvOUvFFRNTSK3jkj
/B/EPocX9ZAZuw1Y5JVAfD5tlOkWi1jb9ooICt7nTADLAhddYCJh4/kRfDOrxLwVQsXHi+I45X2N
cu8/ktG0PSVxJR1fs7lSnYMN+0X7HMSJXh1hPeSpZ6HfbH8dQgCE93MNivCriQZ3+SNMU0lxVasR
Z61Bf41yv2yNrp6gEnoviSAc3HHsiK5mWtb6XTPHenIO87Ihn2pBkruIAksKTtiTGeO5PdftCcFE
Xr3MbugByImhVW99G1vDW2tIrepmtar+CGstau/KuMD7I2wjBI1G7l/5POEWOuImsoRzjtDKz4Zh
ck1CvrTkE5YUMoKOJgK9Yw7I98CHKJqDoBIfI0BrKnpyFA0+6aDx5uxWLvE+9ubKUL9jrRegqouB
HmjZTExP2GjhrWeHmFI5yDZr/Ks5PpR5OtVIaxZR56UALH4GQWNSG0rzpLorbGf85bRWzBs1VHx2
ClUjluiRZUi+JaAquBkerTEuo8Q4xwxfCNMlg8COj6dZzby2t4WCobat/WwMcBBHOj90+PEPRXMp
j0SbH0K1keNDMUpxflbyTsmBqwXI9ceVk3wtMS++M/FzoyluB9mTbAjTONoJWPVbeD39dFs5Stye
rNkKfO7gdPhMJhE/4DUilzfZYIrGw7abg2VFE83FMZry8F5WxKCds0weXjKUl94hv+Oqq2cIkHqz
YXbRYRj6EPOcSkpQfTSbLvWCFpHQG/wG5oepses7Vo1Fp4NNK6umBZW7ky0XynFOHEweAaOY3ddR
Fo31C7pHhwVt22H3xbsQYFbdqLy9k1EspnlAQqBx8WT9KnD3UN5HVe6/jrEoHpVMVb4Y0GTCmzjK
Yn8Y21w5TCXWZuAW66a54U9ofm+TebllY9CyQShoL3jd6MdQq1w6mEt+7VyUX+20MuIki20/EHFY
E81F9knPVf2HjoDcS6pP2vfKMLKHptKahzgO7VMbqubgWo0RfQ/7YgyOOIKiUY/NgLKTk27EGEgG
ITAA6V+9bPVLZqzaYydBVQ+C2mPbV6fRcca7Qm6mO7kvjL9/+REA5OBR/QYjrS6/54+XX4QY2omK
tUjIC58afDRGl1csOwfs5cgtYtN5ncqg+/rXbz/4UYWE1KCWeNGWx2MIidx0snwHUYoDSWp/H9C3
O10f5TL7ZQkp3oF7p86lrFsHHeBk4QSK5UuZ5mQuSWGAnXQyaJ8KfOa/NnVU3OlG1d/jKTg8z81c
v1//ARsRHAJXJgUPFW6Iti7Bo+GXqKJhdTGPEYdWA4dYhUBkR9yxzteH2to4GhhEQuMlv12DDmQo
qfLYqcyV4pgbYNhNSsajgMy880mBArWXiF1GVUsB3qR4iADBRfSmJm2LbYFm+Yoa/dBDs76dM8d8
zoJZ3pnZRpzocFRp5YJOoTq1pAR/bFFa5GrKdQL2LoxIjrJB+WT0w/R8ff0uQ2DkIuhf4NUJrQpl
mI+jBJOp1r0y2r7RSvJdkoQSPqORxSKK6kxHoPQGld1zfdDL/QFdfMHIL8SIhZrxcVBzxvg87Sno
qbgmIciIqQMNZANQeq8c/z9D0bNlh9DDW58FTDvqQB4aylwTbvVoQWpupBvTTZ4E0c6xu/xglJyA
KtET5WxfAG8x9YojAjvbryMA9gsg/YGot96pQVxueEahFYA8DWA9qiwf127OANckg2753OSBfAS0
GWauFhoWdlAShuuIWaLW/feL6IDAp1pKNZpX5OOYctJyGrBwQ9BUXWIqToHi8RBLninqYSfXvry9
gC2b6IsiD4Rs5Lol2bZtJHDRMfxusSxwkYMJo/OAQTvQ1wE482EcNRt/cSI73HVBAR7o+I3Nzjn/
r6CyKrj8h5DhvWSf0m77OOfcskrEvGzTH2o7lDysnIxP9GkN3aM34bxCSEh+Qwk0cGcEOV65C2mj
8dpmKEycPoAqurQTrOqEBqxU3phBPyiHvgqT9NTbHSYPGDo39iF0zKp5HHKhdiQUU1i8hBIUjodp
npFngV+4mG9RUcXtAFWcwQOeYPv93Ey0gJJUewfM0qk7t/flPqbOgdoWV44Dg2UNu6vLfp7QwbJ8
URfJOcLN826Wi25ngS8/M8oj0Ouoq0BavFhfx4n7ypG4SEv0n5+7qUm/YctZVq6mCkXDTtOKbosc
TwRXberyBp+4+u36rv5PzuvjJ9bAp3CZ0wGnoLCGXMhtnDQBqn6+NliFegB3YhYvQ1o13Z1dUCL1
gFY7uZeRIr322Jm22EbJ2EPD3I/FtwhN2eEgJCypzhDa8AuT0W+t7+pksLTjJA2YFCn4Se7Roi8/
D9+ExjN1yKUPvD4f2WxJFZtGp2ihzMc4UXKcxDDQuL44G1f0spsRfaLuxbFffsUfr8+A46fTxI7h
F4vjskhpErhVzA6f60zd0y1aztLqQ2ho9HFrUjZeaAUfB0vwXxGhDDFCIif2Omec/unnwUowW4mm
R50gtfa6yJLvY03sylpsrKfGDGnMyFRLWNKPg2tyH2qpCc6+tijbhZOZemIy9h6HDfIy2E4k0+DL
IvgAuv3jMGiitFZTd7aPWq14gI/H9CYM059aVUKTjrxkkiisyUKtydI5FLBfUrKCtJC0AaK/HCqY
25vzD0hcANuovIackjJRSheBBZHjozMX2IdQ08+Odpo0t5UA2u1hmho/1PTSASKnXfPN7Ik48JaK
7K4/WLz+8hEynvNuKwK1LbxxtU9OTpZP+qdKpYd+D07c2lygdItphPPXd80ihb8UNAGgUxJb37J9
HvA/JrZvd212xLxaO2vAcP7+/UL8kR4IDwvVU3UV5JSOHJjhSHYRw8v3RmGlOA0U+CrV097rtbWb
YDQhKib/p++xKl72asYriqsl8WErH6iBG4eIYH2nurd1Ov8cZTUhCnpJrespy6bGM6idKj+FY9C/
JhgK7Qy1ESAShSKrscCwiTxWXygY4qxKw8j2O1kZsF6eMJjk7sblktrQvVPTrIcqb+1EiBtRDgwm
juMCcbfVNYkpmAX2YwrFSz3ChMbI5uEkD3hF0lAYjw1OSo/Xr7utz0Zbx8JGjP11AQvM5Wbs9WGw
/JS1/DTjru0BPrN3QputtVxacNyshG7s4493gJOBGIp7BNmoQDrfSgy+HSw7qavgeXZbtYPkYyDV
7+mKb2wWKHb6QrUjKL14MGxKfFlDJOFnI1YfcSWFPiZveMU5kb0TbW98Nm5vGnEkudDP1tkEtzs4
vUJ2UJuKCnLO1FDfJU0aP9HlyR6gVOY74LyNTisgOSSAwe3zctD0/bikI+YOIT6EgU/1N3xAX8v6
BVBSe6M+5byO4B8PRSq4EOfUOaRqbj7VSRmMO5H/ZSwD+AdJbpQ+TEAT6/eLYLZEEa4Mb0uT0jqe
78lwNyfTiE4JGgVfIwIqB8+qKI08Ry1CgnSlqOKdS25j7Rf1G3ykiN5Qu1ythBXlUKkBYftCkefJ
dWQpn0CBStPvYg64UiMzKndu7413m5KNiu4XgAJkv1b7WTcQEI1GR8JDZ479EfzGY4lXntfHU3OO
o3p0Cyea3Z6M4uavzyu89gWVCf1Fu/jsQ5gblTNTvDQsYT0OJj5qTuFkO+f1v8ttFZgg1IZgEtnq
EiWuHu0EImk4O7WE48EoKzito0jVK7h9uukAxsAFzi3/K0tW+pjAi8bUypnizzJmoz9UZTbm1zxK
k8A1CQ4jsiZjHj+VcV7mLhBzpGUrpTYVz5F6gTNLKMXKSQjFCvBrSmT8g7rQodCJufx87CGz3rdw
K9Er6TJlgOCU4Q8WmZONmfoUD+l9n9FncHtw68a5CkPlFSaDM5wV0NX0NsJee26HNnhDpyd+Fk2R
qYcUa+72SCslEjcTPNinGf0rDJaGxQFckLuDVJ9qHdvZdHEY7mN9fDFT+PteigTfiG16p3zGccLE
rszIs+e+iHLzgGtq8doTreHwaFdEGiKQcKwyYmClXjPmDXDMWljtIe+dKvcENnSmK0IFtzmD/tAz
z0wPuh/Jlc6NurGml1OOxZNRRjg24cWAebhdZKP6WCRIDgEZ1zBMTVJ7ui1IRn/nhlB/dyEA72pi
jY9D2OXfEaVMHXeknN16Mo3rn3CNtdcmj/OftDSDb10TNu92hvfCbdIl8xe4VZji2Uy1QXqjs++h
0kLkSiwpO2EXRs4XUB/CFhNRqQxqW2LrX3LJMqOdt3fj5l6ibwBYNJ4XGvjHy23q7FZTuk6Cbx6/
TaNq0h1oFPuo60W88wBuDYWONCIZxOFESauIosbgmJ9BoCIXxfiE/Er5WOCydRvj77rzSGy8tQuk
UaX4Azng4q2lwZcEmMjZvqBjck4x+fw0JRhmXb8hNq5De2FDGAvKj0x2tXYmxlIY11u2j2OJ9A8f
sL6LYkeOYapoNilTaZf94fqQWxMDhwLyB1SVTPCy+lxJGyY0+EjQJ2Q3JKvvHzIV7ur1Uba+FLEf
60Z5cKlqfRzFjgaljsGL+0OrzIe0z8eD3g3vwMnSne23OR9uWDjrCydXW569P3JA3ZQy04yYj4Ud
9Rn/SQxOq2CvH749n/8dRV/NR4IIWmQFQDSKnZmXon5xQ+Mo9gQc2PP1pduaEO8VZf9F7AaZg48T
wt/eTjHzo46l4FLfUu761UpW8vOvR+H9XezwFnLaRf0E/2M7k5rI8cO2z49aV04npSyLvz9FcAhl
HiUwdYSUq2VLkH/IMblzcAWIbYUMbQicM67Sg9hZtI3vQ8ZEkWmRLF3kKD4umpDnIM/bhp5F1XWv
6ZAAFFA11NPootfhThCzNZjOTgNfBabrgo+gBj3lF0FiAxkjOMCyB4Xb9qOLq9ieJ9xG8OIABcYf
jRaFRab7cV6hWRC5qPRiMsofkoe/J/3xILUTzZ1KqRIAAnr7ZxHhhqeQdz9d3yQb1xMKyXw6UhxC
p/VdEWkoWOUzdXfMq3NXmiQcQYeo0mHZVtMruibhzmfcmi5oRGi4tIT472rvzxm11gRwho8gRPoO
7hfD274N5gPtvuyTlIHBhJEhf2r7Bn2865Pd+qrQJGiQIjRFxX89NupkcbdkV8B751th9gahjtFY
D8A/dHXnftw45NC7NLxOyAjQ1FoN1nKBBLNVWqDyQvPYaE7+yc7VbGeUyymhSkHXhAbGUiNdL2ev
dZgrtm3gO8AdziAbWrdro/LzaO36f2xw1lA0Rn/MgKXjUBhfzQiAqUKXOgr8oqbQcyBLn6LDUjaK
KWNo9hdSimbwMI41h0Mr8nb0yhzXc1ev9AJbXF0nPjxaY2vuwWwv99TywygSw8WAs7YWAZFRGDLb
Il7ikzkMT9Q9058IjOonHIiVCpm9VuieOoVN7GYltqjH69tqc/gFSEVngst2fYZGu8RwQ1YCP+46
I/cwzJ565I1Af7pS2JZ3/SBrb+Ais/goBpTN/jrC0GXCPAojaHZzXa0ukLLBFBOvjQBhcFg/uuQ4
h0Ku+mMRONpzHqZ7rbqNXJcHhbzaRj2GfHedbjVNXdNZLQNf1vBP73UBoxS1A/Nm6vA67RQhHw0l
wQWksodH/Iuxl9SH6vn6om9tfBIuECQUTK2L/hNOC33bOo3kR+OgeZMzQp7NRHFUC8vYOWOXJ3l5
QCmZcmcsVPbVAltpa4blUEq+OmJRoSfk05aaa/+PXUSPGp00Hp5FqvzjO2DNoquKwl5WNZlOspJh
4yiK5DimSEl1WKccsnTQDrGFiOP1pVz+8sfskvcbl4hFTBPE1LrIFXUQ84JZD3x0f02vNjX9Iezq
wrNlqfgs0YHYe1031LJ1mN/LWWXMy24vzm86Rl/C8WfgIUvelqfqdxTCwvrZ6GczPxV5V7xZQmhf
2r7QM8/C0d7yisCOS/ypy+Z3D3XvSStbqjvXF2PrlgMPCah60bUAyb2c9j+iTSO150xuKiAZmZHm
p35I0xfZTFTEWlHnexsmWalO0MeL77LkhLqLNH7xpMWW2hyGzkpmr5YqJd3ZgpeVHSCohCOcOmOp
M61+VJsuaiiNZflJLD9PXX5fIkN+EzutcTuFSnYkPPiFx/Z8CLM6++f6ilxWC1kH/kMOg2DEhR+g
WaiRZuZUC0PFfOiK9JBGjQcQKfuUlRGwN9Q2z9dH3DjboIPwveXZtOmGaB8/QRj2qaTVteM7QQQA
3JH7Y5Qp8q9Kmf4e3UBll6CS5wxVY16Qj0N11QTfi86pH1u56mlS0x2gfImdz7c5IZgmS6cR3a11
4JHGGkEqJRgfmB5mpiR+ZBhQDV/mQSPZ+PvVM6C582foFBKWf5wSGlSqHoyk0KEJqBDsaXFAEsfA
5znYywGXbbe6OQBjc2Hx7tHAXLdN5BLWui11jp8bRhefRQ+FzA1GrDFcTKfG0pPNGCS62tvhi4zl
495h3bi5GJ8wi5yAf6wBPtQ+bEIs7hHZluaDDTHgOGuiPpRWn3mQ1vb0vTdeAoDgTNiiYQudZXVH
wz9VlWlJ5rvWGB5IhnRU9eO9nufWrCi2QNIiIOeBW703Uy/RByAx8cPJMeNbI1TKlzzWuIblygq6
I2JDf4915xa2aeYiSbCBrBiwlGzVkCzOGrR/Vblt7qt8Dh6oxGV71M6ts4C+LIowFF4wNFmt4STl
nTOwR/2xkgfkXdE7bqhJejLixjvV2Y2h6A6i2k17f9EFXQ0lzyBgtMnU/MgCRX+cBzoflMwM6XcV
tWl+vH7utl4OSrPQrJaLC3WN1XBprczDjHKRD7Kz/j3kGmJg4I7l1E0ycuSbaS7L8Vlrhhm1/bBB
IKZ3YE8f0lRtqMK2sFmPo1zJ2c77vrFrbYAxlKDYS1RrVnccAih1modQ+DNdat5mOXwbjUJ6vj77
jUGcJa0jfUOc6qJTJkeBpuDXbPpKpYaeQqXQlybQ/ddHuTwaS0ELNA44dt7ndejZBrXS6QtwsbPL
6kkyO2fCsys2Ab/MyY94CvWdy/TyhmPARUOVQoqB9sX/cHZePXIibRv+RUjkcAodpnvG47xr+wQ5
vaQiQxF+/XcxJ5+HRo28B6u1vCtVA1VPPeEOq7OYoXTptBp6e/D4wvedbeanMfGqjyXQIH+eYvkF
rlEReKnV7jT9Nx91ufDp4QHNXofxVgs7I1WlA8h9nM6gxiqGSYYd6BBumUQaf6+KgHq7xZCTe4NB
+E3UyTybCX8NLDeU47kcQ+2hkYPz11c7cj9LM0pHkJgccLUXex2hTXpEzgXyMjwv1Yieimb+4emy
/Pv3h2opjaJl1zNxX12DptPLTB9AZKKarT/rvQcsumvRnW0U7TSribXTpbxNk5g0QqRBN4+JMYq7
r6/dxpFpbMO8AkKA+HlqJ81xRGkikEo4XpXUnAKEe/7WtdwEN7Swsm1uI67h9cQPYIanz23FTLXx
7ENSYg/ChqqOiwL85/tH7/aAg1oEvrBM2DzqlFUXFrBPz/pj+DDaSfxetkNzcStt2LPVuo3ZyzJc
sSiu8RLXrODJ6NC4hNv3ULqmUgWKppUHKIl48Kp6tjcC2FyMvhcQ2uWErzWSkUg2CY15+DCptji3
fYUfk12HD7FW7yG9X+aer3IlZCsZ65OT0Cy3buhrGmZnbm438VWZXHCZMfIczlHtM2SQmsnsfk55
NYyHEuV121cbgRZRb3XF92L20uIYOVaBgv841v8WVpn/HgqaTqd+7qeSToMof8SsC1esHuowMK3e
EUE61+CdR8NVnLdGxDfT/SjCr9YXc2o6CB0lvQjKokRhN9dRRzvMfRaFBy7T6V+jDuvfw5Sl4AkB
dvUoSAHoILJPaBsvjNaAWO9gl5hNbLaidzoZVENYv7WUmRZXPkcxXpWzkf87FwMiWXNTyP/NadQ8
gCuytENceBpO7UMvIHyoc/ZhnF1oMH+5YZcXvpjoMJml07iumWAg5kWIA9I1HNvowKinuBQ6AIf7
q9xsIUC2nEDOIBUXYNFVmFFjBYmCblQuLZiwz6ZaGQcxa/1zHHKn31/q5gS+LPWiFsFKN3BlN0YG
wrJAZzhNmxwN2eiPc5HvgQg2V+EeoJ+0tAXWOf0s+t5G34Nm2iC8MyqSyrGAv7bzLDe3G3ItyJcs
Op8QLW663tXsNal0rfDCcFE/hk4nAk3Rky+h16dXsxmTPW+Dje9Elxvd3AX4xoW+ungYhbX2jEfx
FWNvJGtb1TmHYPH8OJZ7VdEtoJOHw2qeKQVTzEX7/vVVUGqTXgPLVC5zHNafqSyN7rA00560Lp2l
T3NDykMiejFAdZwHjkpsd1csA6MPqZ6OH/RiVD+OltHFONKNSu+XpZ66Rw5u8YPRc7M3+tr45EQl
dFaWeMvnWL0bbbbTsYPKdnHyIn2vNn3yDXKluiMbZGx9ApZg2sEYFHjO6obUokwRte1BrHKVhCF8
HA0ed7JBiTE1cOUeMjm6s9+GCRKtE65XykPE0B6PcK1zv+eJZ8TvjSJSJIrv0vqCExCMqRipKOMh
K7Jm8pk/ds5xUAmejxLFniywYquJ32vhmFmIxeR2ioys3llnJUmUNoB1kH0vRlNOQSst8IooYxZE
OBQGjaPl9HV9ig0rLGl1q2AtwBnN/6MLXMN9C0N9zyF66yuQaur8Q12E0vTrXaNYqWbhXkAfNzVj
gm09XY2whlB6P4psfYUFVo16EGLnN1FEtvpgFX0RXmpTKX72lhG/qTQxmr6NgP1fY744CQDMlqsV
LU5vXRJpEpEP2vPhRaQyg3Y4676li/wJJJ083n+um0x9WQoqDJ0qeoY3U2+E1PvQCJlOTMloBoON
7kOeCfc4qbN8amlsnZUCK516tO3f91e+ac6x8iJAR3ChgXvTH5YxYpWKO3iX2gOi6FdTZj0kOW0B
tBvrQHGRZNRtAbwut+YjKPxyJ/Pc2jigJSjcEYUi5Kw2zqDNKtdp612sIoyvQ2zPAWoA+en+U269
XxAMKk1bpAdgyL3enuhlztIKFe9iOg0Sd/jRyLOwYvF14fI9KMrwvRmcNgCU99cdA94vE6flOmLK
QW74emWlBLyF03Z4sYbZOFeNoZ5HUE6gi6vibzsG5O+cZU4GszR6L8ur/qP525oShb9lv4Zukz0V
ulo8FnXvnJpK7lWWG1+NrQoiZBEzvm3TTUuLDs2V6IqiePtPbUQL4zOXO/J9G18NWtVSlzBeplZY
vTu7hM0xmgjQGdLN/hfpcjgXEobtsWoG79us5QZxzSric55V4c6O2XrChajzAtddJkWvX6aTKa7b
MQW7VmVvneHfG8NBNWFcHe7vzOUZXmfWAJ3pBVCgM5OiV/16Ha+bs4KxQXSdYfcdwZk/zLk8ekk3
PuBpsuervfFGF6oaNFFaHezm1RudjCkx9ThKrrFR1UchHO9U9ZONqY6dfjZqvb7obt586eAI7WzO
mwpz4SHBUOH4EeYY+r1+zjErPUQom+QqbDB+oyatcydE9gnGrPEo5uZ/8OPDnYbLS4RevVzAnAhw
YVLBYGodwafcBmboCHGFmlCFR3rLChJCbhm1vjO4/Xjs2jJPT12SlsZDOGqtvOYg2oCtyTj6V+Dn
O/oTKnE/YfLrli/NpKiOtP1xDtG93vJFW7adb0i2qd+aSnTWlNE2/MZrLJcwZqlvx9jQxLWRdldd
27gJO790OkzTE9Qvf7n5BJdA8ZKLrPpG96vSS57B1kZfbHx3v4SROvwviVRsuqIarJcfd57+E7yF
+FpgVhAdbcSA4mfLwo+3yyzzAwPa+dlhw0LWn1V7CtBarj/d36+b35FzT30LYvWmv1t7hdYPAs0C
euTMvfJZ6zQ/173B8ts8quzzMGHeFoxwgo2dI7lxVVFUszC+qfQoXtghf8Q39FoSpMzz+Jo6vejO
QmYROMY2Mq0PZdY2b9jwww8FvPRb0uJef0LblbnW/ce/7ZOyj1/21JKPE5xW91WiGaIfjCS5TmnW
Ze+FxbUNnpGJPUQSwpLfo6g6BwruyT9gqI/vRvyK1AMc3zYOtNqRH2dppMpORXI71uZnoW4I7h7p
Pygyq3Blj0MYtR2hsizaVh5ZqK0CWVcwW0aGkJrv5VpinTVNVl3QTrUlfKu1zcJ3hantVJVb3wlI
MYJSBpOcG6SK2QOYoB0QXXVYeIdlzHlMqyl8FgKMVZjb+LMqRXFIRgiHGUPjn/c/0fKo60MPYJG5
H3qPtwVMOMlyaLw8uhZmU/uuMllPIUn1zjnYyEQRGMfIBJQam3I9V59cKkCIVqwSUWkCe0IThVVO
Qz3vhc7tpZbhKaNd0Nqr5IUytHVCL+OKyHTv2PWj+d5IteGAhkW9k4duL0WznceCg7uun6uoJ4tJ
o+ia5kOHs5VqHvJinv1e9ntT4c0tSzmL4xYWmAvY6PWN0AwiLkrsDy+iyOxHdGeKoxIa1idDKdrn
MSlRCFMLEagohJ66UYPpZYTin/t7ZfM4g/hfKJQLI3Bd7dY4iyWxRiLTa5PzlTFnQg5cN9XbVhUp
SiZYxubnMTNjMN0Z4e0NfhrlfCgjY/hampri+bpdGHuG1FtBlh28GFPgtHQDT1WzfHaIItGVu03+
QIp9BMouIvWzE3btI5KaMGr1ASO4+2/jpT+5OjqIRlGJkI/jRW4arz8JnpOSCaKSXJm6oEFfY5zy
owSX/r0cJ/Vroff1Bzk5ovigp7JEuaRWe9WH7ZeiryMailKv65wPKOCkn2dkdIWfO7PyHW9AWQTF
3GufjMqbYj8p6lr6qjEoZoCKjdYfXDue6CooVXOSpanD+fa4WOuhamHj9anzEU8EYV0NuH9YTcUN
vrXxHLffGF8U4jHH9PAXlr+Syl841RFHuBeoOjI3AQpAMbD1SaQf0qmufylpUg5BCQ8AgDx6J2gj
5XFqHLOiDFsi41R+b12t1HwE7Gt02VIjf0dpqJRfWtcqHwGItsbHaB6zY262c/tYt2P6s46F9TuJ
4uHXzge5DWWvvsfqiFTR5E6Zwe4crOy7LhPnODVOHRRmNj/89UqQ7oGsw+JkwLmOMf1E4TSQB10n
E9CbJfHtKgbpHIpktN7dX2r50atNtsw1Fq9MxkPOukwp2hoBZqVLrrL0ysduRhnBLpvycH+VjUiG
+ie1EHMvBKzXF6IDCBbLgTG90hLv/zXDLHkuvDA5Fbjn7KSZt9qkACVJMkG2ACbgT6sATXcWPV8r
Sq+D4tXf20Gdv00wC/9R0X752Ffd8HZoqvy7VsukekjUeMBnaTD66jiYbvjt/nNvhA7uXd4sZT3S
GuvJUWyBMJY1+QnYt+bZ7WY0iLBmOTHxdY5WmepfPEvYO590o4hxXdoxRA0QqjeCHo0nlKIutfha
o7V1hIwAuQMB5Oeob7oAD5Po8394yGUQR5tygyuGMFc/RzzlNU0SekyLWvnHSCsc/iiS8CvT/3H2
TbpQxk6E3Nq7LvKVzEAAjdwgboiFSDsxs73GlLuJbxTujB117H64/3y3GDN2FPXKgku3MJ9Z38MT
vuSdo0/xtYlDKMoABOUn1RSIdnehiexZFYl3ChzMn3URjpdWVgKptRZ31uOQD3XQdWqqnepZ1jsf
eutULdxEiAxs9ps5YaRDlWj6mOxf17LnQXGG8xC63lM2Z3uztI1XvQjuUSyShyzdqdd3kYilXZRV
HV/1WKrfnEY3Tt0MC/L+m944Lh4Cs/AYCBZ4hq2OLibWtTd7ZnStdS6c0ZgPSR8Gk5pOQZhBuepR
sPj7yAScg2uWlh8t9nWoHcYC1c0OK9PCEuJg2pF6tjUG8jZCLjtRfeNcgq1FeB7PBVZcNxcQE0sV
VQzJtZpa5VGmbv88J6kyBYKsvzsVSqn3Oydko8NAUbgIFC/oH4bKrz9bBaJXizROiGqI5k1N5v2x
ddzpEVlR9Roncf9o2a2rMOFLlf54/2Nu7M7l0DDPWo7OzXxe6rPt5KpNG7Ey8rPpJF9lrZTv9Lr+
fX+hrb2JqwTcFNDrQAFWe3PKQBnJ5XiWaA2/BS70XQVusFNGbS1C0g9aGXEPuoirNxniimjMNCKu
WovPzoiCaHyMDbPZo4FuHQEugwUAAwrtZpMollYkccfD9J38WNOGPjO7dk5mJ5IGIqNaBUkDt3pn
n2x9K2pVkGLMHW9x2HaBEgtOfUQSxQzfNdWQB66GL4xdTnsmzi/RcpVxLPx3WnnQsAisq5odxobR
RnYlrpB4x/Ck922dvkUmv/9fY1ooP0IfQaFt7CLzYNBvdHxmGN27CrUJwLNz/DVNJWqSThJW31ug
Qj/VKOo/FqJDczEvrKr2B69y9pLx289vMZdZsgnkioFl6K8PEkfIbKd8EtfKcLEi6kPtiNZwtdM4
2FplmZupS4fsdm7jej3JrhPRIRuK5JCii3Kc6qz664PJNjbo2vCpIXLfBIU+HuOuq5FknG1xYsOL
c9No1SVrYFv87dFkWAOdZBkCM7S5KegaN9XbYUivjgKWvhJtdWzKfE9A6vbMwJ2iA8Rx0Wi2r6eB
+dT1edSl6VXt0H/19a6euwB9DOdt2DGZ9fVq1JqjBHKyB8V4qcFeb2YmUqQFy5wIkuR6FmxTTKEs
meRX8EHGkoi0uhtIvW/GQ4UtSOyn2mx6A0VWVLZn+rG27SvqqH6vhN5/LpAHlYch7aFUcpvaDJtk
m/+s807DRKqO0DSMwQRET16ZxIBfgYn/pg05vrXQT7UDSBHmW9OLkw+1ZqOXUuteA5KizI3xMHea
wPav61z7iFapAaQ8jvTpzPcqpiARM8rtVihdAYO5NRsY2lreBW6zSLOINjeToKxU85/ZKKFLS88i
5KTlRAFoisZFTMjir+/vldsYxKu0yNvpnaFkuJ4vAIsHT2noXI9Fl54FNt9HvayyoHQybyeYb22Y
hWsP/xeszo1AThVO8aAYY3IdETj1QazaP8ysAefryOYjnBQc2sb2r7G4XILMY4mxdOFQgl6FENl3
mlFnpMkgR7SHdoLwopYelnCjrhyAc9Y7Z++28QdchYLOprgD03zT0WmbDqWjIr1qbmmJQ5LF5s+0
sUNtIQNmKMVyA52cySuGI4gX56ce1ciU3/+mt/nHYrZBuoNh2pbwVhpnShtK8o8qLcJAhlP0iV60
eGynIX+yO7W+mHrTIyvD799Ze2s/UW4y5uC13yLKG4BYkz6wdiGEFyz4x0VD2UQVV+w1fLfi9uJ0
ZlOH0Ilfv+pMqSlxcvZTiIjwcXSL6qH08m4nbt/mj8hrk0yhekJHCGWn13eQmIyZc2tnV13Jg1Lk
+Tmk/+6rNdIuwC52cnFt4/3hObQUrTzSrRRGlIpMsUowNJHe6ygDTJH9kIJ+++TGRRsel2gwHqyo
hXfsSro5flNnypPMQRU1SSKCQsG68MEekA0LQojqj6ka7YmlvMDqVvGXzvIywQICysW5eidjRMRD
14y7LMIZ4DwDfwEJw0QAW6YOefAnDXVB9Vj3Vf82CkezC8B5yfKY9JX4pGLB+D+sgPP50VaT8mLp
arfIWjcmJsVJ6hxtKHbpQZWJCwFRqFV5EfS/lCs+OUIGrrv4QYUIsYzHPLTbDGxmKtudbbyxtwAa
oQjiLKUn+pSvv7pNJyOZej6DhhrIJzM3Pd9AR3pHg9FZVJzWL5LxKmadMB1ATK5e5GwkFfc4QCPP
bcbpmqAXr/mlzXwMaJ5SNI8AOtHc7pPa0t5bVWkqgZExvvBba6Gy6cDyctS8piEMUkctPobRbCLq
ASN99Mde7WjptmaPsKF0S1/H9iA/eT3gxCCNCtEE0Ti5b6hHgDBOdqXOQa9myc+sM3tGkbP9I+9n
44NVToPha0DkEl9t4yQ9Zvro2oeoV6z20AooXUetr239MEjGu3RZnPGfsjFyM5DDFD2UpTV0fp5o
6re6SsLfeRXaz5o94eLgAIr9lAzC+AGFHonErvAq7zEsEG/2Kxqf4WnKZvm1meNc8QniKC2ISEmH
Y95DqH1yIrqDfjkMSnPwsFL+TIalZKcZo7HLlAn1lxsWzuArZtP9yGs5cX7BbkZooaCK7tPZSLQ3
qVmP/2gNzusnFwK8RV4wGXvl7kZ3jCoGiBZPQZP95pad7BgnIrTAL007Is1Mr/SQmk0URGo+vl36
hM9em5ZMzLriTa50/aFjhhI4Tq/vRLOXynq940A7LQUVOK5bAH6kG3k2TO4F0RLDPHqRjKtDnbZ1
8zx7Y83J0uMkesw8b0jPeUd2gMK9kiUPbTo2lt913uCdgWmF08kwBjTocwdplQwdZMu3aM27T4xN
pv63qjVJFyCURNs7Z7t8VnurFTjAzjGS8VEDv2dUpFp+qHpXVqeyy4YfuXCwB0D3XCvfuO7svbHn
yTYPTWw371JLSb+4FQavkDHMLOd/G1t+eZdPU6C0zpD6CmoCX5NyVrNT7qgdcPEpoTCZYzMfPkAq
58BMCKMXVzn15XVokx5bYQLMeBDepL1VjRm7OMdjn+0Ek43Eh+JigfZwzEkMlivmj6GtrBHPmcfS
u+gqLrm1ntee31FjHQaNPaBkbX2IyXR3Vt3adCyLQAXccgZM6/FcWC6A3UZxLzHyBH5qg94Ysrw8
JFXPNKsvReDmbRh0LemoqlfDI6pbzdlopz2I7UY+wvVMOcJvgel7gyNBYz1l9MEPgVp2GOpsflb0
sTsyi7Keu14dUbXPnZNl7TWCNy5TfdG2QAxSXVRIV1HcATfgGdWy2VWvOIVtqgZp7ZmnRarxfD/n
2mhXclExM6QTwqe+aVWMBaNWEx+Ai5uN3XuEdbD9TV0w2H5rzMyA7Tyb36eJRHLfqVUmmRDC+uRT
PyjzN0NHPKFGnBG2kx8loVr8NcIM3D9ZzMKQpJK+adaMWK4Mi5SIqzTimCX5fDXGId9ZZWufL5Mz
4hskkRucF/8hzydI9ngbpgrDLYCzn6bMa5bbo/euY585ODJbcbKXCWobWffCbGDWboF+vUHQgcwf
nK6OlUsUinY8Gk20iCbmngV2hf9kgtDvKnShLTn9GK1k/E0s6j6wbxiuFtmkYdobG513tLXQqh/I
NjP9EDqV/HcCaMYwz0mVkzs2zO9TatIPO1tn89cv1SzpNpDq9ZyGdvKg6RH89GomUoEjZaZtpaIF
JKDl5tNkYGMB+TM6VaWmPo5hpDc+dbEVwAcznwe8UoJWkcpbzxiV0+z26sdoaocHsCjKF8Nsx3Ms
lD1Nn420GME8bjRqZ2Co6+q/92an9WIgx8QRcUnnPD4PlZn/Tscx+5TkirbzkjaOMgSZRYmJ7slt
uzHOajglHetBnxI/BQyTOihl37yLuPT3mAebi9EQd/DBRpFh3Z7uEO/HuM5WLtPYpwdaULi0oNP8
gBSbdbr/8TcSTbjqhMYFoXUr5Vii/4ZIDM/FIHkMtBn95nKyjJ2qdOtrLRhndjSPw3d7fQPxhKRT
cUGNIICeVPUsjiYtonNEInSIS30PY7f1Arnt6IJDSdvop0JFabAHCS9jbvcHi8zqqOCj7qOm8fdN
VCL7IgLGNEbDinvV2DTD0BlFtDxaMnVPMFNVpJddTL+ETHbi2+ZTAdSlfbfwxG6gAd3AmLXPlItZ
yeRNr3jjha5l+y3XYse/vy32llp9MMxmtHiMUo4XoiwnR3VprcEl/hyFyV8r29NZ51qw+YdpKdiG
13vDAQM4QPMNLymWPLHfT0YTYPYyPIwOQeT+Y23cELRFUEJYCmrmZ0sk/CMTUppOT8GUwDfP+ujY
mnP6HOcyPTjW/K3u499mqw07F/PGm/xzSXeVAwzFbGWjNXsXzU6gh+FuN34s0U6VJKftHoRg6/lo
F4BZeUE7r1OueoHYqPh9XCrXLp4VHGoes7o1Hwu7RX12iAYuwdnZ6attPeFij7F0XeirrQGt/OXc
tX3o4rGqZlc77um9lrN+iqyh3NmWG3EEL8xFWIvhFjq3q2054d+qtR0pZSmV7jAjy3gYjA7jPDNJ
Akp1+3h/v2ytt4iyLhg2jAPWM2DYwWEvC9Qdsl6mp6Qb5l9Da301u06/Jrb0durxjTdJdUanhzEo
6eqab55oSaGIZsGaxDGaxBauFTnGO2ekJff8RjaX4lu93J+3PNqxTOAtwja4EnyHJ6Owpme6Pva7
3oVrdP8lbgC8LHTQEOxCiYOR+noeYNkC1zM7XNRHPe00TrkSVGNhHkZwGWdFcyYKkRliLQS158ao
un/yISsCXauUxyii433/52w9OWNfG9wCe+lmEmXUrF96OuQqVE+PEwS4B3I65RjRqd1BpWwcR/Rn
2DnLtcf1p78ON7KR4eBIuH14oU1PVVtGD1qiqKdmjsSxaa13o1KmO+CT5QisCmxQAdxDjOvpn760
fP4IcWqbC4TtJ+WStkV09KYie88sotnRK958iX+ssnqySs1LG/8H5SLtNKEex9bST7068dGFBrx0
/4ttVZLg8+G+8rUWN+/VFdGHYjY77N8u0Dyc75iiW5cBKYqDDGEIkIp6xrsax7bHLhy9f7Q6M50g
mQ2gZHX41yx3qgsIF8u0gjLjppY2Gor31CA1qyZVXDvbEVcv8vZMJTZfLxJ3i3wN1P11xaqoqROl
eRVdW8Mar64ARONacffsefl/GNbxTqEEkCYtfOnVux1AFKZ1DYjWHWMgmLpXPAiZf7z/BTcPwqL6
RvuBxvz6ikCIwGvcEGh0iAuHPzkTbiB2htNgigyuFEkb9Fm8Y8W19Q5fAjfwHa6ntU4I4CRtdBDI
vZpT1NIb1EvMYXmbWQhp+P7jbS61iEoQ3/jXuhgpCZ8C/TL0o2HgBdOUYbbRqvklRL5tJ19fPsf6
eAPqQKQbAsktsJsJWlOqNbUaAq3i3PeuiuRKn50QUU0PeT+kXynArM9dNP6HljTgRJvkEyTLwuZ4
HcyGEQEdxKKJ4nHlnUsktw5O0k87A4it8EWBRbuEdHqZnb1eBYV+bbBcjjrAY7RAGkW9ZLqe7dwB
2taGpHBclAhw24L193oZp9cYt3pIlimNNUc+ElU1KNpOTppvY1HVPITObPxmQMYgtZm1sTo07SSb
cy5ma+lbjbLymQR03sHxHOC0y96I/VLM+S+1mJv2SHtT3xsFbW2zRUSZuoZOCins6x+t63M8Ysim
XAqpTtfZbcRPr9CNo+2M2n84sA7QfaZ4iBLeoAnRyWoGtRI0NMrcPSwwKj+x1f5cdYU8ZdlU+HlZ
pjtcs62P8uLsh3YbXXp3tcNANnpxowI3U8JBov2oYYGJEcQxs5T3tjtBV4CS9R+O7kKGtylPadKt
O1OeDo9Gx7P86miR+TErmyRAibv5OTnz1/tBYuPkei9Nb1ahKl3v7DydtapNgbkpBUpJjBPM5tFI
Iu0Z7zsPe0kryj/anVnNZ6Cle4XPxrGiNiXA04mk07OOUE6KvxUOsNHVGgHf+lqjgtlEAVfdeZ2b
69ADoxO24EzWnQuzDO24bi1Y8k1WDb60Buc0YNv+4+/f5eIACXZPJb9av8s4R0liNiVNTJSSrgyb
EbWaAIMy7w2vyM53gRdBE8TyY6/c33pAWovksx44t5vWjM6wy25D2qxNn8sPDLRq6CbN3qW8lfFQ
D6NfjgCNwxlchcEQXxRnqqGsxvEiyTondeseICssGrvVNNPGHIrKOeapl4c+1JRhpHsbDwxLZqN3
AqMpjGonmd168oVIC4YBtOZNM7t0x8hKS9j3ualOzy3dBxgB4152vvnkFHgUCwsYlOd/HeQsgUBi
BVnlAjtCexjpTF+xRSsPkQ3FwxCKDh40j55B34y+F/fyonZefegHt97ptmz+kmX2jm0CEMMbmt1g
9Yrk0LoXoaBkcshjIAzwwq2kPhT25NgPSBD1iDiqNY7TOoXKsUKkpTkZQA1cP1PsId35SRsXgAea
HujKUoveKJJYQCubycrCSzYl4tSA0nky0lE7LeDB//C1waQtahcA+G90gfO5DBEXS9jnjhofra5O
j8pY7xGQNuprpBPRUyadQNhwfaONUxEabY0vhZ2BoIrrKnqQqpYBAWrCQzWnP++Hja33B/KNV6fT
rb9h6HkU06UoF2deG4q/2iANURUSBxmZib+/yxarxgVmtJCL150D+hM12lSRgohZEp5bo00V37Sb
6km2s2WQicaa4WdWPP9z/xE37lDSbKIiqQlKS2ucZYmYeodBLqUSPgznpleaq+tM0WOYulhfIEFw
HVtjLzExNnAEHoQSAgMhn3JrdXPHFfR2jETJ7yulMI9JhfhSkMRosTD/KCjHIHL21x5Pb8NPjbj5
2TcuVl1ODUgOKmbIRa9mpnKAhOJMDx1UjczvYUGXQd00U390YzG8n2ZPAXvSZCBFtaQfUx8rjvQ7
7cWRyXo+58mpQ/7oC+6bWRTA922+qh3Mk3etJyUuc4CgHtKqcZ1AEsKinZRy63onZKE7i5glCKRV
3HKUuErqqqLlrMQlovKjkz3VU+Wdaiel85zHbXmJvcxj/lMl5/sffSs0A6F34ecTnm8UVoUFibzQ
akS8dT059rXRnfMk3EMRbB1Wz6AXArZqWWrZen90Fsqc+bo6cPUpdSoeLLVRwali+hxWFhYnpZHt
9BVf0NWrWodL9v8XXO2qpsI1EeIBqqdOadNfb/NgEeh+G40ABPmT55sTxkgCwJuvh+h8OQmTkvuv
dvOhaQESpeg3Ury+fmicxdFRgZdGyKjqt6PiNadkjvRAqQ3Lj7xyb1J6G6Lg7zBMIB91kQx8mTT+
8ZKVuk1ljGYM/iUSA2lpovwDK+Foh2KvCLoNFa+W0lePVqYAjLx0kW12neLHnM9D4KGmFDC7M55b
5tS843xPKmjpsL/+pjzUIt3MyG6xsFh905oMm+km33RMdd5n6IGHBIRydJNQSF/Ybfk+i+j+eUqL
AZWw/9r3eGEMgyjVOKKQx9eFX9Za7jzqfXw1jDx+G49z8eT2dTVfUsCt4c4O3vqYnBPkD9CXvZXC
amU76ApO9tcsisSzEbYdbirh+E6UXbpzX28tRVWIYu8L+WLdahzNaDLTRgButb3q0KUuJkNIFRzb
DPXr+0diayn6X1iVuTDObuhtalNUatTBjE2mRHmcNEX8ag3ZHZzJGD/dX+r29NEDo9dACrYI3637
RqLPlYlrB4g1tafScltYxhCdsnDIDjRJ5uP95TZSPtZb7NcWEzRyv+X3/HH6mjadkmhAMxepRPeT
bIrQH+cQNLKSa0fZ9xMINNs44cgwHTC6yp4qbKyCMdOMnTbI7W1CqwXmAZ0QAOa4o7z+IbYYYllJ
fkg4dOk7r7S8wLCpTZEtcAJznCw/qRWw34W0dgw9Nrr1r5deLps/3gEiR8KS/ZRd61lVW5A6bdVZ
R9XKsjezi0afXzVzIn1azxCIc60xrj2mAtW1F6F6armYO95ebewFjo3bACsaNC8QP+QI30gajD1D
LEl9ftULbCOKorXPnTInp1SOlHu5qB4N2aaHTkqXj9bE57Qc1P+w9Rf1RRzyqHFvavjW1LCrYI9c
s85ygrBo1K9a33eBjbvZznfY2vr0ehZ3bNqyN5ASqUY1LSSIVFk1/4uUQqEGLmo0B6WtnI8FnYSd
ALL5fklgSFaRncbjdXUdGLGJVoWlxNcw7cVJjzU6XMmUG36vhfahNELzaDXErVLX4rdWTc8WC6Jm
p3+w9dRkMguml/yVGvv15kOn3i3aCLacVqfuN7Xp7LdyyooTshrto0kGtycwtrkg7xeDTvBBN1QO
R0vTUHjETc1la1m5Kj5MSpo/OoMSvxdoQ++kaluXLoUOcgsoPBBBVxGmjPvMqDC6veY9ShXOMOAy
WIwY1RV9OlHayvDQpKbx4X5g23xK0B0L/vOlzf/6tcYRmX8q0RxqPDl+Hau48wslTp8HK2RYGyV7
XeqtW55RzQs3BmrT+pbV6yZXu8KNr05t4743IBWj5fLrZIcWmvz5jHFgnAUT1bJfiOnX/Yfd2smo
OCEpD7OEeL7u6VmypE3vYWMZMqfCXTDSELnUNNSGzkpnz6cc26yr3ujOCaOA4Q3tMuNDIefY2SnX
l0i5ynU0+rGw6xAFQ/x59a3t2hpjMfbRVTDP9gUCCx+rQVF3kozNVagygXEbHJo1esvlDbvCZVY0
JbXxi87c5xpJwn933unGhUSdjnMWY376iOt9a9D3qPvFIkctlNnyaRPRRkzmpHvTqxU+zhMdgqvq
xs4XTq7IwL4imuoXEnSpL3owv74Sh3PjTx6b0cc2tI+C2cZzHDeI2uoOfSEXb8kyy5S9S325K9ef
YWnVEUS3jL8EebaX5BqluG3WXqAM8fyUjnHrnpM+MdWHlBynJPXUuy9Rrkrr4Lij+qiFWfU96vrw
yS6Fmx/IBcq/th9Y7M/JohB8B1h208Yc4GGIwlIAlSnRcBrrzjjFYOl/6aJU34/FvCeEt7VVyFxo
KKKTsPC6X4cBtoqjSESer//H2Xk0yYl0a/gXEYE3W6BM0+pWj/zMhpA0nxLv/a+/D7obNUUU0bPR
RgplAZknj3mNCi89MNQQ8aEeDu3L/c2yw49Dm58ECpQS1eLNPAy9HymiCyaCPEsy24UkF32PQlP/
3C5qzU7IQ9QMoSaJ72pvKdOTNGv5Fc2iZvAW2K/tszaXqXVS87Umgd45/R1ZJgiBylYl+2oZmd0g
KjTM30D5Wz+aIenkizJx4n3TTmqED5Y8/1jaIYaiLjMdu7uOKIo5p7Iv8XszoKHa7oL5xHgeJyQa
rnNnz4s762X5CLrPEe44KOnHYq5U80mOkr6iDduL5qKClfjH4j9Jf3UR/HSgtY2wTm1FinSCL1OL
jwdvcmfrkv+qeDECm7uJZJa6pOUydzB05VkLQG+bz2PbFtf7q+zcScwNCZhEK5pj2zg1OHGJAABz
lyop5cemGutHs4jbIFvS/Bn24WenDJVv99fcKSIoiwgl4EIYJ24n3N1QtWpesvXRWai8Kdfzh5oZ
sA+DJD4IADuXH9ABSMfM0pEM3oYuLv0kqxdAQ3Nd/qwce+CbpvNHzD6c96Fwiv4gSdxZD94OPYP1
AmTovYbSPxLoObQFoJIciECozRAoV8jAuc4kGlZC0prJg24pJ5/vv8+9RRlKrCkTBefNbBCX3qye
+yF86GJJOS2j+sOKltY15wppxmo5soTY+XzwN3iXMEcJrNsufW3FLQQl5hN9U47k22KN3vxrQ/fK
WEsOvuBO3ALMSeeWe/J3bvj6jQpdq4Rcr/iPskYhQsYUD8ygdnCR7rxCJDvBwaIusoK5twmwDgm7
MhmvNjJDlHOt0p34aI5OBATaaZbyVDWlMP37323nRf5GCFFr0q4FG/H60TCMNVrUBKWHetRrNA8X
6ZxWCeNBit2Dt7izFHMVoBArF4IBy+b5snZOIkTLAKzUQ3m2KF+fhkqLcq/ODgOXuvPJ1jSX4mUV
F7vpf0MBNSV10bLAQne5OA2hAh3TXGRjcA1jaEw3poz82fRW/E+c533u6sowpdC0Mv1/aZrUT0Tc
avG1BubyqUpVNJ4nEdlnfbaVL3B5bNOLnEp1IF71cISksWt/KIMq/6vZwsQwpUzGjzZuWkfu5HvP
RZKl0tmnpXPTatWnng7BJKVBFTsNYvdz5YdYiRxE5L1VfvdW6Hpgvbo9Xjo3kTEJanBDX7JrNSJx
42jzUS9sbxVQjbDCSFBJP9Z74c9AJRQR29qQBSABu3cxvCyvLbsjc8WjVTbhsK9ZZlTbLIgNoATa
ZEZn1azl/7C513C08g5Icbb3CfB8mOyQS4IqlyVv1OgXMX8rzzrg1IM4sf7g1/kkWAGCBGK4/y9u
9fq1gRqZ2nZJ0kAJRdx4VBPNKTRz+8OgmLnwtdGwzij/XjUrjQ6K9NsjTJZP2/R35xK7lc0RdsgL
TXnS02Ap9AJjp1h2NX2Yg0jq54PiZe8pQS0ywLJWoO0WFxYhPldQdWeBFkFyu0Rt0vbnxpps4WUF
BPqfqjWgV6DnWhh00wwB935g3F2fOTOkZzJJyGuv33LcpCOTaN5yVxnFo76M4pn+qezarRFd82hK
nqGxyWcYZe3ByrsvGVErMP0UDTe87k61uhicOCsvsrJ4eMTbPwwYn8K11epo396eDlSBOH4YzLDk
TR5UjFXWtyj5BzFkbDzm5+gdzLz+cv9l3mZ4MAaAIBG34PffeIckWjEy5y0gTCOpV6DeNxm5jw5B
W7pDWBNb66gLn0waL0dDo52W6kpWQA8E9TqSy+0+amRR9K2W5kGJBMXnsGympyxLTPmUoxb2M+qM
4a+uLSwfhf3+MdUkkXppkZWZa9q4iv2HT0vbDlY1GJpbMr0AUZ2gqZHR26w+1VFuPURGpPqwjqNP
b3/jgCVWlOiaB25ln0AZq11vRnkAMj1DW9iR/5qhrLtOVrWfGqcvzhYoyIOh807nA4EdlJ/WQQAy
gtv40A41vdtc5EExlNV5NgUaE4oxvYx0mv3eUv+d6965pE2HKGPWFid6Hkez4L0NzZdmp9E3WeuW
zbmVxhC9AisNGhrkl762NS8B13sQ7nefFFQCUFKQKLcTZ0m3hSKHRhpMTpP9hdHp4LiyOjmJmylV
tKLMx/ld2YnoZJtxXrpFZY6fFxwMj8DJt1njCmhdbewBXNs30SJUR+jq2NwFeKqki1tp1vijSqF9
Ip05iVOhpP/lMDM9IygrQKFvaEBNj5ZwT16wUohxz7G5XB/HlqG/l46hWbt9Gg+p16hDYxwcn71v
++fK69//kTDQ/sbXqE2ywC6l5VkfazPAvLg56HzvrkK1S4uCOR3o59erTDRIRV6HfNrWMYoAEmCI
zmksese/f0Z3Px2gE0SeAP/diPpG8ki14XDFhbpanw3tX5SofmD0pXqFg3Tz/cV2QjDRgDhID3Yt
DdXXT9V38iSsVEuCdFTV5BNzkvSrimOG+j41rfCCEUL5IMv9dL2/7M4zQu1jpEVcgBe8bfl0+qwz
pTbQfG97ENDDQnXghQktsFhN20e16IeD7s9t7xfxUoQhUbBFO/BG8B1Y51DFDb1msxjprrtjPar1
O1vqJFCxdjl8WGR10M51EWfRrxZFqu6cj6LTP739wQHLrsKFtPdvPi6KSmrK0nFgA4h+gtJa+pXa
DMDkSvEusvojUaiduRnPDZAePWr47jdcoYGAyGgE5Rlb6zHJisLKH+JZf9fYS3dpLBPrkChFcmlW
Ww+vnMbDCvcxlYTyN2ndcPDZ93bbeu+CrlrBW9tbF5H2Xtdp7ARllNLRzHpdys9G68xf6saO/aHX
2wenUsTbpQfBO8OXAr+wAq22vQ+BiluY5kythAhzX1+KzG/ss5ID94+Hd0PnvGiJVRxcezsBgyQV
Q5q1N3A7kAYoBIJhcBiVySHyLVVnPTtLecQF20kLWQUVwFVCYVXNe32AI0fNHQolBE8NKfYgZzTn
RZlDf87xrL2/d/eWgqi37qIVm7xt6RcAWkprQcTJWUb4T3XX4PqUdk6ImvOAg+T91fZCBBQlCDY0
+FdE++sHqyVYxm0kJUEuTzi1xaBbOgAEV2eJfyzgqt4edanPaI8BRqI7sM1RRLKUetyoSaC2ef3A
mNv2i1FrHygR01MSGu1B7rv3MmnCre1oKvYbRFyBiEivSqw3jG0URGO4nDpUdfwSeaHT/Te5u9SK
zGRiv0M5yZRplmJk0gMpJymplkI9pVOrfO3wYTp4i7d7HkKZuvbWUfkkym12Y9sKx0mqKQ1QpSe/
pPI8qR10yPsPtJNmsYyOvQw3yE7PCAi+ycZXWQaBYQ+b2fSyljOnyhE2tH7NfkE+rL5YSJq6kjLp
vqk3zcHNeXuhrL/BwvGLyh7VvU1GOSUdUkIzGaVh9GwYovh1GqT5XcL39sbKmQyXeF66uH6hrTMn
R1zo9f9/Xe+zPlqDqNOyY2/a43InTBQGbfIRtW0S1zSbx9Rum5Ngvuf1IH/coVrmvzorjQ9O5u5H
5mDSQsO7nf34+mR2Stsjs57z9vOoOy3Ipl/aQtfevGt/N8aZlq5AE9ger1cBTlrEdYqQ1RRJoVfy
r7yxUSxftI10ENj2XqWCxCXzUDLXG3D3yqOXnK5iqbArr6NldefOmCrXkhcH3tQkn0FRjmeja40j
jtaOQAqPSZ2tUpXB+NlWZG2td4pEGyOoh8L6ayr15Gc+GKB/10nEcKE1iTlHFknxE5O3qr46nRWf
uAh635za+FO7RGBNEHd8c0uHn8XYBcARqfUNzkNow1BImkFeKMx6BrmVhB8WZCFbX2oaQMP3D/Te
joJVAHwcHQYIhpsdNYkqs7CLToIQ8WzNRR/L/lTbXft2CUCeisMKIHYlWW33VGwxeF/iMqHq75vh
nCDp+NlGHHhAr8OeHssup7aHnJwJFAm18KCCUJWdI4vyEHqzQDZvpfQtfciqzsmTYFmWOv2g5t2E
ZpkmFuErq/Lg13yqBqScCiVGW2xMRnX2NZBsmqsqiL+5sa1XEb4ISVG6Ugwy0J+M1m6v2bK037pJ
raBk9NWAnuMcmucqn6f4KsuDFrrLrEfaQQC8vVZQZls5F5RD7N1tb9NA9TYvizQJGlnNgzydJr+z
jezaLdrR/tgN+GDHOSYo6dAC2wRbNXSUuh2GJIgAU70vB11DqQyVqtOMPtspruPpyTZG5JwguP3P
7iIQeQq2SW/fpWgYIUkHR4850yYiJV3cC8NAQBacYfc8LYPkWXluHcS9vbNAjooXHVN48sZNMxVJ
4qjobGALeVoPD4bVSFc0w+yjBsHe12MNhDD5eOhxbN7oMthDidwc09VGMf1Ijk2v7WBsOpmwDljZ
t5kcDQiQceh8AUO/UdwiaI8QU0aynKXqnhQE4rFsp2U5DcrgL5o9+/e/0+5uASvJ1Iw+F12czSvs
0wntxdWJKVs0+QdqQPNw6qxi0B8zxSoUv6EZXrsZ6oKZ6xRpab3EfWG/l9MOCtP937L3mtHkXduc
JEQ3lQc9WyHZM5LuESQh39abMIgSxzonONQdPPbuUtTwzHg5JzeqiTooEsigwHpLsIKDr2RyqzyN
6Hx5mLcw973/YHsflbqS1ikf9BYkEmGNIltSSknVGYU3AWl6FAnYAycO9Z+AMI/gvbsfFXwITCPq
HSSpN3eEWqGoTssN55twVDMXjcPsUet0vbqic7yk3ljSPUCdSnyaiyipT1XYiGs6VdpRf2bnPSOu
vDb/0TPTyb9eJyYtb2XU0OuiZbJMXq4sOMoAt0quQzHWB1fG7loEV+oDRrEwHF6vpWY9nxovmgB4
s3o1naQ5ORZ8ulSBhHL/g+7EHUa99JtYhRH69v2KsdEjaMRsH7QCL3neVudQDo/4KHt3ILkOxqJ0
Y7gKf3/mP5p12jxB24VAEZioteougpTTT3yllH8ANtnPmlKUWHWMoVo89uVQcRniPTh9R2s9cU6o
tVefO2eW+5OOfP+1bDoh+2OVjKniasqMLaqio1rtJVTejYu5SboCeGzrpM9V5rz9aAOBoRim9kYX
ZZu54TnOhBn14kAyNSx5a1txs1yk19TMjIOjvXPYWIrQybUDBnVba+RDrA3qGGdBib74kyL1ne01
0JH+jntpOmt6OCsHx3tv40FxgTRESgzme90tf3ymqFtQ68jJvnGpmJ/6VrcvtSQ6RBN756Cc2Mm+
cfEAdEr+CyZz+3DVXC4DtD6mQLaIX6TCSR6WJjXLCy9ff4IyZwXMNWvsKOEZHnzDvU1PEUMeA8qI
3H998X88JlpSQDdy1o7R8TjNgDFPnRF3B0+49zJXZSyudMIl9+3rVUptUMJunaY5dV6bLrAmA412
KfllLnpy0FfY2yrgSMG2UzPdkq7Q1EyQue8yfNrM5BSrUfU4SeJDpQ6lX1j2eKANtLccMIo1dYcU
wI55/Wgj4kPVCJwuKMpc91tumy+ih94s6UN6yTXjaIC19yppGZODoRnFYH2TthhxajW6nmfBgi69
n6pj6LMlC7/QpLePjPAJoB1E6xCO/w0GhnoFLRVQWoEcDuGjUg31KRH50UB594EQe2BoAkjqRuUQ
eHXf6zZtrm4WljfRm30uK0d3F/R5P9+P8LfdVx4IKg4EbnruN63CdChBR1VZGthNt5wl4iIzsMh+
D3Q2v7Rtmz5kdSi/uQvKoshZkC8TJ28QugUIvroWKYGkJlU2hDJwl1X/3n+yvV0IKYW+JJkWY6/1
yf88xjmW6SqU2UADxQsFvXFLp57PYh5qX1KKg/d4tNpmD+p10XItoII9lLHxrsry70mdpi8dR8+r
2jk93X+4vR0CmI1cnTYPWuub5Rx1hldRiDSYB3gGPZADT4pgn4qSE3B/qd0nA5QMVA+F2JsUEh/e
BUFjNqMuSc451tTsqrai8+Iklk9NNA3n++vthV/2PWx2UMa3tDtNXRyrsGm8OKmSnUnlqyBcVZXv
r7L3AsmdELfgmr6dcVU6Vr5OXyICZw/OyYCGe5rpVF5Frzb/4VsxYaBCZdxCkrj5VjYt42w0CYci
UeNzGcaR5kvTMp0Qfx7yg8X2vpaFpC6DHbpkN83WUixWIzRioRTJkBSVaPRiCyFneWFeZ5XtEQJl
L36AugGZCmkQAN36e/44ZaBOYJ4UXGOzkxefm7xrXQR043NctfJn9GWWkxpLR7DVnUVJErlhqIT5
etssi32YN+naJ+cFtEGZoZrsZp3ZebPZCc+UcsyM+6b9dn/L7K5KjFyVobi4typNkqXCMbWWJGgL
rA5jKuhLxojonDWR9YhMT3FellJ5+z5dBTuZTRrK2qvfVDjV4CxDlTQsOrfpc18s0YdEiVM/Vyf9
ACy2cySo+2mGwS+itth+StWKdGcI8SWcrEixz6GZ1e9FCnLyoTQpbQ5Ki52NSjxZsR+wIlcVjdcb
Z8LNI9OikHo8zax/6qgOL0NftxcjHqXWZdY6Hlw6e5+PIQQl2iqvfQM75iUuxTBg8QgtTvLiGC8R
VY/EVYvU4VwAj/d0GSvs+3tmPdubhvxaDqxj3d8J0ebzqbXdDyY27UFdKNWLpUzPlLHmObbw5bSi
Or7MopguE2Zdn+4vvPcxWZPyAOm7276UUjR9CvCERhzCXomHXw/Sv/kIi2kwzfA/fMsVtE7bn7h9
056aVVIG1OHjQDPLqPPQyK9ar9KqiGZYCaXqxS646A/upZ17gguQex3FdtAK26wPz9l8zXihw62z
FtMpsicbD66DD7i3CjpiFFhkfMTwzQdMzBpaVEfPu86Nyk/ntd1YDcVB1N6BnnHeGPlZEH8orLYP
k4hsrJDOBsinkER4A3XfN6eupJeGY5h4KaoVhdsWdVG5CkwgXwjdiPwlBmgiW1p30GHY/zkrOHUl
Ta9WaK8PJ+SEMgfBSHqhgfUQQ5l7Bf4Z75SlML/iEl59K9ApxztKyq8Zcze/T+vuSUyoRt7fxvu/
hM7qqua2QxmLnCnj5CoU1FlqNN486fE7I5FitrSZOUEbiu65URr9PJfG/B7lZvkpavCUx0WnezvP
FZCG7LAdmD+jebR5K1gDm0tR0utt0uhnhuYMVVvSuoiuqpcxker/sPXIuoj8hP1bnLDIWiAohklK
qSTLB8Oq0/cRUIWDs7sTKDQyfwVXh1Usb9vARnzDnAW66QHgs/HUavbPuY26M6lydXC/7MRCGP8E
CY7Ryttej9qfqcIQ2pNVyJDxm7L6rkdlMj3kdps9y7AXKreN8gLMS43pRW9PpnS5v5P2Vqfxi7wr
Wk0A1jeJiljsqs1oVwQSvVcGwMBtkrotz0ozRde01s1Lg+/ASSWQHXzHvTdMG5KZPoGYu3X9ZX88
dy+EMs9ZTqtbTudTYkm2H1lheqFTVR7EkZ35M+AB4BFQ8QmJ2x2KkgtRuB1FkC5tF8hy12Ajkude
3orpk4WGv1tgl3axIrwiXYasb2cJUoCvlwA3DoF5O+rHNmLEvJtPPA/pCYbKcl66BZ5N18Y+X/bg
xe7c6ERMfibUA9q8WzQInuclGoxN+FAkDmpMkjG8s61o9hq5mf2Uue0pGmXx6f4+2mEMrgxINJ1B
D1BWbpuVLZl3KTJuBBnXkOm0CIupsLmYeX5a6hKHlwG0GOrVWloq8IZH80NidBEUfMMMB2+yKuWr
oghsC2x7/CWPUVb7aooVg9fUufQurUKRwbNWEahtcL+yLsMyib9iZep03IS66jEs00V2keUQyblr
2vKb3pTKfKGWSjOXIXz3nXFRHZ0ZdjVfsKiNdT46iqn+nDmxfS0Mc479XBHlSwE9sPd7pCGzn7TH
Ke7QclhOS9fr4jrVpVC+qmo3f8J/tj1CSuwcRxRjoaYw3uVlbqeuKZKJEBzjKDCysL7kODWchx4d
vEyqkv8lFQOZOSwiyDixfL3/AXd2DXQEGjgo1pF5bseGUajUTTEy5FKrqAzwlYS9OUX9X3Q90McY
RIMganqEnd85mOTv8OixFQHtvM2t6wzLnN6BHZn3ojo5Syb7KXLZX2tVy1DpyarLJIrBay3wZ8NU
9n/ff+adLIZuwWpaCIxpBU+8DkGlNSQptFASNITIH9rYis9ytjQHSiB7q9BpAcRHHoNTwybAVzke
Wc6criO2oRQuPr6DX2bFdNBe3F+GccTajoBxuk3J2oXrIQK9aIxLkbv5LPLvRVQeOVvsFChoGxGw
CWi/M8zX70ysOjXsfOweI8d4qmz8iOJWU90WwQS/HJejefbuY5HMoh8DaYdN8no9bcQpyilIootO
qoLE7rKPUzYczVr2V3GYgzrcxfzxehWE/Y1ecNXT70Pl3xezbHgizWL17WkFfsfAOrnvyMK36A0r
gcYOEgnxolHvhDsoJfVWabXQlkcJkPvb9zcr0S2CViUDTnn9VFGpqEleg5nLCuzPmgpEdtQcCg3u
xSxYNrCASctApWxWMbu+r2oQSIEuNOmZ42T5CeJu7xY7bVG2nCyfiFJ4ijK9XWT7tzUVvBsVJY6b
FtIiOXDFUmCjysIAcy5lbOkWqf8L1uC3+29yJ1lhQr6iguFkMMrc7MIxsrWpyfM4EGY1/F0aRc2T
xe2nCaD0wUfbO2Cr0j5UYIZKN87miTNodtzh6Yz/J3OIxgk6Ncs8s1i+dFH39f5z7S7GN6MfvG77
ba4A4d6WtFTH7LsX3ZNjxJGb97J9rnDnPk28i4NZ2c45Wx8LcQFa+DS5N3slXnQ1G7USiZo8mc8k
EvPDApfUv/9UO1+LVchnyd2g221Ty7jLxmlWJsy41Xh5P7W44ZhMA9/17XiE4tzZ/CYYGzJLTtht
smXKeAdhgBIFDFocPUjkNEt8c+mba2lLjoG3oJlcGjbpF6dezIOQv/ecQEchbTBToi7d3F+FVuIb
g89QMI1Zk/rhmCsfw2RMKl+O1Pl8/6Xu1ZzgCUCmMOWkqbk9A1ImwsKszSLI0DA8KbMW+qk8ZW5i
ddJ5sNTwGivOJwpFPJCNwoGUrES+3acHR3Fny65ubPg/cP0wKlz//o+6Aa35OmySIQ8ytRQPBUo4
3gRW/WzkDknakBzlKDtfeCURrgFuxRhtH1uVS0mvY6sIRm2SG6RF4uibPElq61tKOJO5xOb7No1i
f4aQ+O/9d75zXAD5AR0Bq8J4bXtd1PbIZR7qedDmQPz4wKHxImSrO9JQ2kn+AKeR9wH8x7hky2FX
86UzJFiaQTYOAmXiAWos9/GpaAH51Uh6e23T5tf/8HB0HMH8IHR6U/iKpEIPrVGKQA/l9jHXm/yh
GZP6oLzeezRqEliwtOHA+6yf94/tAg5Vr1JpLgImQ8bPdljUa6hY6d9OVWqwaQRSTmgPp0eY9b0v
t46UaYwYgI+3urjAVIAvhlFBVzztT2ljxYhuquMBXGwnADDpgWbARAgJh21/LKTxDfUoKwNZq0rZ
Bcaj/d0kbTlgSykOTc12TgINaU4evWkF45VN8K47MrRBCjkJoen0V9sa2yemLcO31lGiwrc0oJMe
Pru9Av5ynkrjcn/D7AGA+QEQoRhdUjBsaxQ9VFJ2jc0UZ5kgpyy9nsouOLHmexs5CUZ8tVEt14Gw
EblWKvJ/NVzrvyxRO/2oO9VO6C13QnEluNbhwa298yW4sTlCCiCvHcgV/vFoCJr8NIGWqizs+Wxp
mX6l8pEPXsNOACQFYQL+OyrdEMIkIPwmPbCMXK6ufGMph3eYI/ZYo63W61CuD4LQ7msn0hKEgH7c
OpJLRiZgF4P86J2we24T03gh96/tM26rs32OJ1la8A+cUtlvkXw2Ay0zm4+oraLibvVSIj8seapd
weAjZ3l/S+y9dqqdtR0ILQ2D7denW6qisVQmdkSZGPlPKZ7htktIfISjob8d5s0bXy+A1Ubwpvkr
qXY2kW+gT6DFv4xQd97ZTT+cNZoPn9/+UMy2oKHQglytq14/1ARjKIxVIwvSOS39WY5jqisE5nJ1
tg7qkd8l7mYSw6R8BZtShN+m0LhsGnMU13nQZWHyz1g0y1/dmC2hO6ZO+qCMjn4x6cCYrp7kaO/Y
pXEaO9o3bz4+DoGFEZtNgXyLVUmUQnKSUsuDWlNG3YNZ2Kc+WLcV1DarzZFM6O22cWjWk0Gs5d5K
9nv9hsu0H2w5Al1urWGzTOfsy2ya3xF61d58ybESE0ryUYiwN83xgVu9CBGfD1QctFxDDpeHusyO
8De3lxyroMOEqiUOuTeBkTb5qA12zGAC/d3P7BP5ShKX/tTA21muHJn9aZDRmD/4areRCDgYrk4E
PnB9Nz2jlDs7qZMJUcLFzD6iBKzCaC7bZ3PWa3EZtFhRz/ePxu21yooUs/Tk4QXcwJWtsqFAM/Q4
GGOB0/bY5b5UWcpBhN17newKWBYrDuIm7dJKgl3LuD5o60xcm7JUTnPe288x3mpnSoHu4yrn+faj
yNgeodzfhR9/bDKVKKZQURaq2TgpVDcNOXqL00cejcL5Y4Oy7a+RaemD0jfZGRFC4VZwxouDT7r3
golyAJHWaQ5J4euTUdn6yDthmEMnPb+EkRM+krwctUFu+34MDeFF0qkyQShvwzb4jlnB+iEJKkma
+8sc685V4vL+JFS0/M5qN8gy/Pco+wAAN+49JqnNy9t3EghDOq0qO4m48/pBke0TXa5GcAfCQTxo
mqT4I2K5B72/vRPC0QSzSf/KID96vUrPS+47DGoC1RaLN+dT/5I2KnroQvxIMsAu9x9qL64RzE16
WACHbxByBSouOPNAH5AVgpvUaBquNJH90CE7drBR9s4ILo7KipBby7HNRhlyVWP7WUC7o6zye8cA
Yo4WKQwTy4xWleVOXJdi7r/cf8IdkjZdEci7K0eZa39b8/azVI1yScEtjHoKPRugjTdNofxOAHn9
ZeRt03lw5pWLIdLZcakV9fBUL4v9Hs8tifFOIeyf93/T3plZP+7KwCUr3lakOQqIdjMPUdCOsfYj
FXbxog//wdB1vabpQgGxBEK9rQUlW4Kp0TAasI0uDKwRGRZHHeYns5GPJPN/D8ReZwV8WCTwCICM
q27wnNTCSE45BPYkjTPMXFFzeFfnYz67i1a3YDRSgU2asJD1OidcoZ9wE8zFj0aUEewRtf06mFX/
Xu66vPE7sx60i22x5WnRdYvpLlGpKy4SjhozmAlU7NnuHOOEY07VXqRerk5Va+sZ7YQ6/tZpzjh7
WjswB1CmBfSWo8Sl5S3gdTV3UqR2OIj+O59zleyiX4oS1a1QKqLT5HoSCIqpdD4pfWY+ZQizH5Sl
OyeVRdjD+HwQC7cRUGiZ2qWdFgeQizofv3BmAupSPxrDKB/cmTsxCHAumJD1U95WTWqUVnO9Yl70
UVbQlF/G92OnRk/WsqjfC3kaDiLD7nrrrJN9uiPkNVgFkvkWd7SUIZIYx+Y3dDiz60D38j0KvvbB
vbn3udDloC6klrplSUiVM6COEaFT18g98zllOsFQ7w5W2ftePA9axHTabpvctViUtoR5GUxzljwq
vVn5paQqHtSw6qCoXyPn5vCtkuEkAKt0ODfU6zujRI8RFxIADlFjzD9TtCa9nvn9deqz3qskO3ln
4RT10iWHplU7D4lqIvXUOpWnna++XlnpFIaLGuJkDm0g44yuZ/oc50nzd5ZI3T/3g+bOLgGkRB8B
xhevdKsyZDbajLTySieQ5/iMjUPZeb3OzLhIW6lxm0JXDwq4nY2CMS9VFXMXCHbbAJpq2lJMcZUH
SySVnjkU2mX1nDndf669dwidgPbE2nm+cSgyJQNO4hLnQdPqdLhFFAcY9ZoeoLQjqY69pcihgHGT
X9Ar32wUdK96B6PRPECHa/mOo6AIPQZy5rcYjt6/9x9r57pHEAbQjcG0lAt/s9ZAcNYTA8PUUh2z
J2Ua58YL81b9GIdqXLiTqpSopZbZQSzeX5YmGlZxCjOe9Zv+0b3rV3ZyNYOjbeyp6N2esFK5Q5QZ
p2jSJcNrUC0LZnl0juz29t4tUxhQn+DIyVI3zztzSv6fRjROvenH+At+KjScT/NJVj/cf7V7S61N
V/rqKxtxm0lJqaFOaW5xFXSFgeIMAvOuVenZKR814A73F9sLLtw3oHDB3tyqToxYJM+5iR+HPBrm
1zabFPRttdZ6MLPGeEiWSrsqsIeekiLRj0jBew9Kixl6Fi9Vt1Tt9cfUQc7OekdWYdjQXspaX05y
HdfnOLbFwVnfiy5/LrXZN1k/ZqKaFKbGdp6ci8RuzyO3x69Fi/EcqqPw7aNWENC4Cv5u/q3kitfP
pkltXcUFLgS9Mv6K9SF8l7XxEViLe4b/ZnM3rBcd24XWEL24TYRGCCVmzABoKqwiQ/+UU94spQtb
XoKX26vyOVvi1nLDUE07DzEdo/ciFPwplyGWYL1SFLlnKb00X8zaNitvFob8Fy432lerzYXlwqxJ
GvwE8snwZT1rzZd5SZtfKRSlxLXtxvkkUqMoro6J3MRFs2tFnNqoKFtXQqA7yBQFV3cnT0PZi4pp
/GXKhY0DS2nL3xSzcFRfgJL8axjG8EM6mEt7GnO1qHxTnRBwdxIxvJMmp+3OtZNo3+xCmgZfT3tR
e0WmLbmfMaZx/Naoh97FRFeSMBpdludJ1SrzoRp7sO6jBOTec6C5/jRaCssPIZ02YkZopspFrZoW
+uO80KcdkJzz5rhMM68LJWtyZ6NjJL8AW8QTcc6L9hnCEU7DdWZnFdlFOf3IERxE4ZreEsiUQkxf
JjGln4lS1vK+dSzmUi5Y/8z4F7HJCSmIVon+bpM6Hh/ySncu+QBn5EFSx1acyOaVxNNS2c5OoZyl
5knOhY6LhC5UjbgWa5JXakn8vIAXyHy8ntr/ET0m81HNplg9CUlqwEWNSTF8TmaKHH+x9bx4Wcq6
/VgltfmEvJ7I3cUcp+ZlNquocrPGXL7ZRur8HM1lPjsTHlZuHyP0c5UUs7EuhVznKByOw/Dcp4Wa
Po3tOIwu/FNh+9SVI+l9bqTCX/IB7mjqjPpylfHGE66QufVOyPRbma/Mvd541WjibFjRm2qvqTwo
uSuyqtb9pnPix2Ie2x7j79T5hgbZaHvdVBifa8doC9cCrGM/qdI4BkaljBnKwnB+PZmLZroOUTnX
yD7YuR5jb9Lmits5MKcg+lRj52fgo+oHJY1MvLe4LGrXHkT3b60j8+eGmWTW2NUxcfZaXOTlx6pb
jC+9FEYAwIyk8LK+QFTRTJlRuzMoN/EyUEy2bm6btfSlmBrV9AT06kCq2uWjliBy/1Jgs7u45GzJ
wKZ05uFhiuvm8zC3RufqVad9rWp1Uc4IrZrlLywp1dxTMdM4aiDt3JXUhfT/mOSRd2wr4yqdBIw/
iBhGn2svAHHDT07t2D9zavOPdav820zVfHCd3IT0lYCBBBQXJMnOjVJ6m9qjVcMgwE5njr12xdpV
sZScZsn4cf/iumkZ0eFHrZmSFG1M1tpcyBNtfdkYrTwwWzX7256c/P84O6/etpG2Df8iAuzllKIk
S7bjOD0+IZJslr23IX/9ezEf8CEiCRPe3bMF1iOSM8885S7PgdaaYI6cuP1Wos957pKm4OSN4gt4
3bg8vv4DVo/KyIk6ivYj6SqjxEWEF7FopnSo0I2unOJZhGLEodEfKNvq5PRflkI7A2g3V8oSJRH3
eR44MkRAf4CvmeXBBD2hNE6q5O/ZVM2/enmhkM0xOkTBZs1RiMIJsKOdM++thuqf2a3rl9IxKXv7
A83auNyQs2bQsqsYRGi7AeanetJ6jm09idg52HZs/JjlY6edTbl1SVLwYnwK5G4GF9/exXpbaqOT
U0AlMPUfnEgbzj0DYnE2NUHaWjmRuOh9rhwLWRF7p3Brm+B8TVuMaTMglEXHL68A39Ei4hQ2WEdm
rV7Lrsq6l1xq27er4QKiAReALi/QtRWcJjcjuQ0n+qiqAuc/UQlRdivODWYkO+/0D/L0ZqPM0EWu
St4ovrWrukY1JbNAkpWBdpzGgzc3TO/H2ml+Tnpu/zZDnftKzuxEdbO6zh8Tsw7tx1EvNclrQ8lO
T75Io++yn8uMbAcK29d32Oqbzz8PuzWYCMxGVzsMy85Rx640u4Z+nR/wVOceaaZB89LS+dEHlna0
bZEefD/fI1CtUk1WplIAXT5DSJHpvN1thRKFQ1B1GWWIL46SlmfHtCz7s5FY04MaGeNef2W1w+YF
qfhm+i5VwzISIj1c+VXIgjmuxtdilAXHqvwAJSXdaVL9CTTLjw6LlsKEQSQtwfmt/1V+4XozgtC1
mESqk9+76hCA2BbqYASerrU196Jf2YVLxjKzKqu8QtJ2jOsXNYmLZxkTp0+qEemjN40w4u/6DrFs
N4+MJrzTnMr6nDWNOWAEUSYvwAXS76nqg10aBY937NVCmY5DpU2/ciEh9ln2PuAGBFeVFOu8ula/
sOe71o2bSfTPdUin7mg1kEqZssGwd0l7TJpqoPS+V0FgCJdywIoOOIzGjstV2LduUOD+8o6wlXys
kYHyXWW0h6+vb8xVgOVrwRukZ40CHvxI9fYV5nloijBH1j7iWY/m5LefjUhK3oqrm1ehC8Y4EwbO
KhDIVoz7lZxmVzltVeJcJD3WWbWnarmGgLEM8yniF0XIejoUxXFqpmBKr5PlR+c09Ycj+Y7siSju
+P6KfwhTVX8KozbCZc6YXsLa0p4G5tbe6291levMP4QxIJkfJEJYULdv1Rx8mU4Wc/8o0ccjZkQE
e6lhNi1rwktsiT1JcNw5DlsxhuU4Cjr+oytqHSfNmWbgCT2QIP8dGFl/iaXAtlzqS+vk64X+Aj8s
fvQR5d4j3G0devR8ZmQ3+AMy4NsHZmuVHLIyv5rdONzXctqDN/OxRuudPfnfzaUQOaalymordZtY
Kin3ZugSYtQ2DU4pgKmCWIBIJnsn0dn4jLbMgBVVVppy9Ptvn4oqItBG9HquY+MU51FPymuZWOZR
YdRwKKuwuJctP99ZdOP5aCihDgNukgnSMhmptcokM5+yK1Lb7YuGI+U5qru2cyN1svaQdcrG9UC/
DKkg2uEbppc0zqggejZNTdno1r2hXMy6ztyiSREnjEbZBa4fH+uks/8dGBV6ZQTmLjHl5i6GRHOW
8sm40AVrZ7XKyfUreU/NaCOzZtxLNwihJhms4eICm5WDFCG4TyLDAj6FwGNGsESk7oS1Q/EJM6Dm
2wR++CQSNKJQ20jHu9dP8+Y7msekHNl54rSIkZUN3KWm1L5OamLey53xHoMKlDmHDKYUDic7uczW
csx1aAYztlxLG5ZmlU9MnLJraSvSZ7toEB4wMpRHyz49TtbYip0F1ygb2pDQWzCbBKO0Hlo2fZk7
adaCWfXN8h04ouCYtWWI7pKRxN/xJhpOadWW1kHLnfGT38b9Ba5TsZMjbW18Wu5Q9Kmi1v6gqpDS
OtMB2WRmE91nsJ/Q7e0rt5WyaCc+b75inLOo08jFAI/dHuwslafKTobsaqdme7SCyDmjl5LeOWVg
3bdTbX1/fQdtPRq9fR1gHIgUnvF2PTUU5TCYHXzYIGxeWMmYDigv65+Nvq/1nc+59XBsHw4dEyf0
VhcHpsNsOsDCKkFrCXftREmms1Kp1blAmOTQWSL8Dw9HlY0jJi1Ndu388H9lYamSJ5Y/4ZRQclLO
k59/6B0hjhGWqF/e/hr/Xml+8r9WAlWiBBPp0LVlyOwBC0voe9F3wz92r2G69cWoJ7BGmgmRxvLM
qw0uMI5CSTg2ZeEW4Pge06bFVQr22+f/8FQzZpRuKPy2ZbIwwnvFjBd0VCzn7TWyOOxeYRPfBmzY
pJ1Sd95pi5R5hmxrTA3+6J0tXmFCq0ymSxRfuzDoDoOtjfdhaU87qcjW25uFNUnNjY3Cb2jMSG+B
w6JTPWmf4ylMjqI1plM5NXstnq0HosCh3KCymmeDt3uiTx36SRWDuiZIUSWinXwFvLOHYNvIrdgI
JK9cA0y7l0MQDLjNWFS4jUHYRBdVbkJXt8fmYvRmeAxt2rNR1TdnEsK9ULX1KsnQoXCAA1zzyTMz
BVXApYYsVxzB15DHO7pQySEVSXF6fSNuvkpuOFAiDGxX1IXGFJhMhWZ6Jb2G7Ty2aGr21h64cfO2
IZuC8UVNzHxwcZ2irx2KxppLDt/pjnETTzRK5fDjqE3xieQyjV30kdqjlkx06oauwbDYKna4KWvU
MHfezEqBvsDFt8pY/Q49T4qfFC/xVg2Oseqbgl56rJ/6GCkCQCV2BitYgmjvFrlTd+eiyFA0ThIc
W6m2s8wFStBdyLn3ml5bm42Ywy+jZ7IGa9d9EOe+yhAgBy59P5gVQwzTkt5nUfFz8IX8w0Gs7aVn
5LBzc2xtAEIDxQN12preq/q2KWlOmV6F3JuPVjtEX5Eq2ZOm2sqqueUB78BXw8hj8f0xo1DzpMyy
qxVZwa+sE8E3R2pHVxGQ3IEQCdcRyZ67+9Yx4pFmTZ4ZELoMsq2OhY7dIudkZIb8mCljVrq+Y7W6
CyRL/fn6Qdr6gLMCHM4gNv3uJULarBt7kjMW48dAqdWioTyjF+GTH9ehfkYTKHwnKnnw6E43O6X2
HMAXAX7GKlNfQnKn4zMrV/91R4ZlGiDKSTxkoKR/qBTpn0Skzr9YcYXUwF1f74wyN/bMzXqLr1mH
vto78wi8TZU+dXO1HX86kxp7r7/SzWXgQsMjIaVZ5eCEf+iNoZbA3y+kR6mCr8wQdyeT2QpNCDDM
TEqgH/pKK52vKTO3xMasD9W+v0NoiFYSdu2mZ0apqXiSaUaKa+Sdqbph3da5i8tOlHoZfmNvHkcj
WIV8KwBfyk8OyuKmlq2kJviRM1ZF9qIZCS7CdmceQJ0Wb7+tsTbBAoGYjCvIcnQg+3qtxS1Ck12X
FV/awqZrlRewA9PR/A+ZwfwREbScBxUrAG/PcF/rUhpxNjoTH0srMZ7CuPQ9S/TWTtm21Q6am4KE
GpoSnPxFaoANSC6ZDapqRqN3cE9Gtfs3S8riZy1X5YOIFf+kpE0FiR8PtSMUyv6ianmnuHjZaTv7
dyP+sKNw6wV5hgqF49wey7GpS1tSSJJVMwy+dvWoHIyhqK9pGozH14/K60sBlLpdqsDmuJ8cYFLh
6EeHousqD9Gq7J2kUTi/vtRGKIc3gJIhfRhnxt/cLtVomAE3c0IeJgqYJQt+ggjj6OKINjlXKKPf
jeEedmIdCUAuARdkv1LAcYPfrinUqGrjvKaVLnwc2PzA+ETdKO9pAq/jKMuwGWkAzXn5smTTwsAy
JodeYt/b4zEKIu2xGaTc86XcfIiaZk9IYGs9FWlDKMFsWjqyt4+lJlWhTQptnygsFbcpFf9RHcLk
nar1JvgljHNe/3RbrxHGJ0ANhrJzD/h2vdwUTttU8FQbv7c+dpKSvGtlpdpZZb0XMYnCeIKRpEZG
syyjIp1a3kQU4TqQ+v9CM9c/JV0oHjU52RGKW9+5rEQBOrO3qW6WdUCiM88aQ+BzUErKX5ODa9LB
amXjbPuCoQC6pRfDYPYa2RhG7hyDrXfJmjP1g4oHX4rbdwmOA7axBqiuwFbp0gihPESi3EOSbu2Q
v1ZRF19M98MwG9WcHWm08vtAHZNTGY7jyVS67xLA5/PrG2RrOfwVZ/MCMsIVAjLuSMxhySN1PJbt
IR8kK3YxsAjuI7Nrzg3/z45+2dYXZC5KxqsAN1tNsM1GU/wBVuK1VirhmqEFxAYNBaT+hP9RArtN
U7KPv2Ps7uzFsT+Wf7dZEz0ncFHsn7noX9V34Pk7CqrsOsRjCzbEIoNyW9zAlUPPfORTWSUKUVQG
iaL53TURnfQAah8jK8wgv5LPmT+QWE1q1xZZnCFU5fc7+3vNLICUyzCVE0tKOVsQ3G4yW02MgWED
BD+wIB+CpEhOQ937n9Aw6h/wjJ7ugHhhYp1iKVJltuyi2awdgr6xH9PCCncO9p89vXxjAHr4RRTF
ROPFzzFk0FBR28O2hdCfu52Z+fUhTjT9OmSDXbtdaOSRh/lhNp6koSgLzxYogLqRoqX2AViTnrm2
X5v2ATAvztOB0obR+ziuG+vQ9jF+ZFY2gb2KQpsOv2hrVd55hPlULp+AO5kchJAAbHQ+AH9nypUd
FpFjZleH2u+o00Q6dSgMwQm160fVR93HSRGKG8shR4O13tOy3ThfBgab6PPPANlVRYIJr4Nfuppf
7b6Wnga5b0+KkRrnuhidAz2hPbnHjeSWw6yhvkhhQid9GSE5XFIeBBi8VLEjX0Z8+g6VoX3VhVNU
B2OcJmySygIEAmTt/l1VGdkXeFDirW8dhC6nbBbpQQFjda8WuYlPPNPMC06y36paz95Dfzfnsatx
V5d19qRNNSgweUpnPJZxeT2orRIW5lMzRRhK7qwRvxyu8GAmViHCvDgSXJAC3NgTs6P+kdGDOGUq
Fqc0T/fI13+ix81OQzB7BtByQVlQEY1FTSZsZ7JjOXYujo7s4IOmmpBUmiHRk3vdEM4X5KZtRJ7S
LnLN2q7e910pmy6u9XHoJch6PdHLk6U73xmZHE5+EnzM2bzvZBNd1ElvpnuyB3Wv/ljtT340ogSI
LdPZRXRrDtd/HQ8a1UKkhWRf+ir8GmMwd9atIDk1UP0PbaNXO1nrxnLkxSaEU8Dva04PpoCNPxum
XlBrFB98q2kOTIjx/x4D6add1Z/euhEgowJOoKk2C3cuN4JtBXKv4/96KbRcY6CV+N2D1qvfpNTX
32eIVt6BBG13rtRVNoQjB76zeL7SudXpWd6+UpGVVU9t5FwAG40XW6/sgz6iLjgMiBu+/nyrlISl
aNPBsmOYCNBoEdz6rhCB3wi2nImOn2ejLhfc6WBA/nl9nfVng6oATWgmg/BCl4pwvcFpoldlXaoh
tb1YT6WL1QHv8acoOrVlpexsk1XQRp+Kz4agEjNl2qmLXdmqg11lamNfjC6on52kaO8qABV3gVEW
V0U4vStZRfHOFmidj1q21z5fxw9kOih20KKjr70Ct1R66shTq1iXTJP9J6Qd0u+MLTtWNXLjBWFD
LmXHqgLv9be83jgsixwXlwUJ0ipZ7+oW1Xg4FpfQkqZzAr74gLyoc0JLPN7ZOBsfFIImSRjNI0Yf
y40TZAGqg1ovcezlzwC01csQydYJO+7c60uRfnn9yTaWm80/kOsBLs7JX6QRqBVmxayLfonNeshc
6F7N98FOoneiyBDiH8Y346FAR8Cc4yMy1p8nurdncGwg0NEJcC72kNsfpaqU3RjNx2/AzpnuKPW/
rz/fxoaZBSfn0p+wxr65Xa7D749aVXEu/lzRDXBt341JpzxpklW5taN0l0nWutPri64y6fkZESpg
0jOztZepIjQU4ClT7VzaTHeCc4DTWek62Qz7mEAZJRdEHKUXI82VH0VWt3tOxevYw/LAM2ZVtzkM
Lb4pWqzdYJqE8pqHPo22ltz5PORO12prFf468qzc4xzGeWf9dT/ZsaZ1fms7l6qu9K8VGqLXIgre
3Hc02CwMfAxALXD7l+3ULGhE4EiQZ60opw0vNeqxK5O9bHrjfN+ssnhjdq3rAX1+RNVGpzlWTglu
2Ndkl67D3rW+8drACbMnuRP4OsuAHRRsez1AUddqp8pTulG9aJ3t7wSszVX4NEC9VfrfS+6XCEtn
kMjomc9m00URCVj5YHqzbyEfh2mVxRwHYgUXwu0WUAJFyaoasUctzr9MrZ+es1qJDpVlDjtZKxUo
f+s2hyNPnzEZaN8RF5eQATWrBlVEWCY3g209WUUVfOvRr3hSJjmM3U5LkBiK8kgX7lBkiKyBC1HT
L3lvQKn3+84ECRmG4Hr1IbpD0APHBZ2m5FMopfG/iRrAAeFIA/edmWTJY2SiHuaFcSf/kovQ7Fyo
GuoHq7UAiea09XCWjHv9MbSzdHQznf6zm5DSYuIs4e9hgbqNDk4b9eopVdpK/URSnsmugQZPf0R+
3CLRTDM59ooKl8ADxq/MukarMN+bU5LL1DySlR6lQedmczrF/ke3E7mEvRBw3yS10N/bY0dt1AST
M7nhUE3jO5Jc495oahQje2HLPwrhxP+GoWY9Q/ENfG+Q0Jt3TZxPfut1mn9IUyTnzjnR/wmNJL/w
BtMCfyl3UqIdelxfvsZSXrw0fZc5h8EwMttL+9IfcMC0wk+JDbPGa6HfHTXfHro7vxPmY9VLor0W
XVSnntT42re4hYNBq16bMTthIh2HThOBa6LDKJ0SJaoeMjE00WFIpOQlQrAqusuR/RKu1Si1c8IX
O8wPtiNV4EcjxB7gvwjkxjrVqJ7wN1MqzxetWh70NKv0y9Qg6oSeU/y1QBe+woExhOIiRVNXuUbT
2qZrJmEveTDKrO4QF/zj2pJRPiFaLCVe5UMW9kzSNpmPZEp0IFou4HdjDQaKWdGo3VuZJepHSc3G
5rkJNPl3XkyKdkgqVBfcvqqm6r3qJ8k5NgvcNQJ6VpIL1qX+VfKd+8MwJX58qJoczohui+J5ssRg
uUbsVPWdpKrVvygRpOGlZkk+hQqZxjUiO3bem3Gpyk99b9KaoTBpHoi1SCiAhCtBY1mp9QNzlDCB
JNVn8QcfXmmxo1WxDinzlH8mIRKR14oYvg0mSkdE+cLFbnzvA7/9wq3SvzVwwTsEdIW3EqnzGqlT
hpPEEBy3NJyBkncxAlIvVmQ4O1ns6lnmVYhdZHKMeAD33waurE8k35LM5NoTekHK1N0VNE9693oa
sFqF8EhrgVk7QCCmnotUx4wqRYaOF13HNhjuFa3xj4aZ1zsl9dbdZXMRUyWSmq54PSP3lsDXBV2Y
bog8+FATk/su9mp/2DMZ2lqKjgGtmlnkjQH57WvD1BDl0ShFDX6S8E+iVgNWEiVn6sZmh+W+sRRJ
KfRvelsbkw1ZbYrBiCvp4setdoirOjuVlRk8aG3v7GGN5q+9uFrgKeEWwG2M1+nyamkNEx85QOB4
Yujd0Rzl5GgURvpDyoL0YcAHsd7J8Tc2Bpc/ORqC8/NMapGUplCF1aLP/ctkNcLLcKjwKgLTXsdy
c5l5KjQr+K/Fu1rQ1Sl2sWRo5J5eWnXOwalxb7cRB3HNQdV/GX2d3JljpnmZGRT3fTX+5HCmXjCZ
+d1Qqt2hrYt+51hspOT0rVGoo9oAhLBMHJkpYWEzBfalMUusCwInBNlfycfWsosXfTSNMxnsHrZm
Yz+xKJjw2TZ3zYz1CeFTChD70tFl9ny0Q079FAAL6CRrJ1CutxNN7HkQQhIzi5fPn+WvxHicbGQF
jVK9KEGQdm4YCD/6UstQp4c8bKIfxeDvaUKsn47txFSeWQHjVnp7t0sGOVxc0fTKJRKD7dXoZh59
Fbx7nFd7ARpA+/K4sAjFFP/OD7nCj5TIOY92xUwp1nu7OuIYbZ5UOfDNQxsi2uCOorT+TXLM2E9J
2sa2K+uZZZ+0wi/jA2r+1meVcV7g0fyLfE8MAZxSsEKCe7awCjfR1Kbywg4bc5xoC/Upgl4v8FUu
yPCQB9aTk9QMxnunxnD4nOZj+5IC2f6txEn2xXDGQD07dOedixzgJvCgEbL0Q8YwmgvVEeo/Zlsb
zQkHjeGbhTjgeFeiCmQdfTqB33PMfyJ4y2kznVotTU+TMvRMA+vCsC4za7w8KU482p7ZIwZyL3UN
qUqA2I7uGXoaOQdZGjqEKnCB8Y9hIYAKK2SHLxmk4QKXjKyKXRXygOFFttSqbq079cemgfBMqmED
Z0Dcz1IOhd/RXEAWXrNQ/+7r0CWtKnxXcsxRdfU0SJTvIivMAhB8k0JUSbT4pxHVkX8gC0h+BUzD
9FMeOc43qbThsDhBnt43iuPX55pMpzikutmEpw6+/c8kU/z01Bmi/aAkZRfjexAVws0hpaVuoXXa
wzBNw3SvlU4YPDqJZPcHHzzXN2OITPLY0EJ+OnOS6T6UxyH1bORc2kMv13iX651f/NPiR4udX4FE
oKdEfiLB09bKB9tJk/6AwMyou7EItN9TmmUvSdtq93irFMNRTQPRuJYVB9VdnDTyHaabcut2TgYG
ZMilf1QT6UNbqY2XcXCku6RX059d3VTf6hx3BrgPH9DOKTo/0u9SX3M+jok2xscmID89ztEQ5rKZ
xbkbTnH/m49ePcZaNynvEfk3zaOt9l36jPsVJqY97Mfaq1Rp/NRHArZRlvb9WYrHSDvqftaiy1BG
zhMyT1IF/3yImKGYU3vMbDUOL3mn+cWBlKd8SVNI0a4e1UZ7apxJTu4s09d/F6J0Ko+qUQLVFpL5
eGk3wWAVieGfKjko84Pa6l3k5U0XsAVkSdSjOyii+eBD45+9vwutepADCge3zRvD8gbZ1xIXu0FI
52KS2juzTyfnjtEEwo0CA9inSgp1ToM5fJgK33lsCl3+OIbMNu/KoE0jN+vN9DMzuHTka+pBfaxa
2w7OjaU1L9BaIHaV0Bn7H4E6DYqXOZVC5ZGMRnUOI4gBWdTUiTu1VREeQsUuB88u++xOREpZewRh
9UOrhMb0zpFE870uTOenhR+BdI8bvNzeh2FAeSEFUXE/hGZoH4M2HoD7CC1VXMgQ7VOdaClcRmjk
0nmUUNSCX+w7nzFdE8NH5KR4lWrMDud8EuSfClKI9iNioFHzPKl5Exy6lNr2yldRgdRP7VcfpTLj
rOdT+aks6mryXs8GV9ceOeeMJmJUB/xmlQ3aGUrdMMwY+FfRQUB3RIy1049pVMPNnxrz2Bdv5s/M
SxJNQBrPMl1LcplVMBsEwwDMPhuGUxthk1E2dejRn6gv1mRFXq/H406pvso65kVBF86CnQz2lkli
XhZ/RKkhBYrG/9Kpif5McbenQba68f6sMtvzAtWgvbe48XpFi7A2DqBMiCo7MAxVDlDwqw+dXuwJ
fs1Z7U16+GcpGqyz5hcKT4v7nHKHPjgyyleulT5yh67E7KROgC4isuC7Lb5AYJuK9JRoUfDtP2ya
PyMr5uJ0PxZrFxFtvKYDQoV5lnVoytaiv66LY2q1iCqIKJEOXATyy+urbrxcsItMKBmX0G9ZArey
LERvY5hVMMrIfkgxyXYrS4pfEEDda+hvLcWMhA+IHREfc9F5g/rb5mJ+udOkJ4d+RGlb0bLc67Ck
eGvDkjYwKqjoH5BzrkdOmu03ukgxuVBz5Ski872vEV7YSbpXyR/JEXCe+dA5SH2uaz4wyfks3Ibe
GkStQI77o20wi4mqXHcdSvmdWmL9Amkwy7P0AZN0urGLWmKQQ5zmWxj6QcyOaCVZu0d4dToEMJ13
XuDGs821Mi+P1Hatpmz1vgQjFn+7LKiyuyrJk2Odtu25KuTygDjJ7tx21fObm+cELipoik3gyrdp
LegKw2yjIbnqbZSOXoW2o4RTtZY+Z1I81b9VJSE3CjV1YCybhOP7XOD61IejorjjGCN9Y7C57jpr
dml+/YisoxwhHLIWZ3MWRl4GBV8Psz7UsRKWUrvByErxnxu/6z78l1VAyPOBGbwt9XwcraYdktg0
PTu19CR0tt+RsfT/vL7KegtxMGbc1iwVxuhpEWSMFqIbtwciD03o45roBy6a3uGnthP1Dux/ayn8
EQmktPSR7Vos5Sf4FSRQJ65+q8aPo0iNZz+bBuG2iRiinaOx/kazTSo9HibMAFCXABNYsJoTDCid
qmYiHwYtjE6aUu9RUzYeiftnVj3jJkJ3eNEUGc1kKujixzjqSi9Jk2eekDL1ggbpsLMb1ivhTDoj
Ihm/orSwbOr3XWV0ZY5inG4U04Nfjf+k1ohhe6S92Sh73nEwfOf7m/HVcjqvx8PUIFGaINUOibjP
6dDCZZNcNSz3YDGrgfK8FA9DMw5E8gqP0oLpkpGD5nYt0GcMutr67sA4PaWobH4tCtP8zCP3lzIK
IN9KwNB2qvU1EWX+AQAW6dUx0MbC9zbI9L1lFEXJDTS2ViXOWR6ZjqtVslMerdLPfVdjTmc917gt
/rbbUkm81mHagLWnj0RBmtho2rShabmBIhlv5nXz45itgNchAKxNMBC7crTGoFGpB7FyLSdTP9OQ
l84FBp87EW0rP6U9ojKURYSNDX37HlB2Gknr+BA478LtzZT0nZmbiTsMQEDc0GcKUDTTHiRj6/MD
GAV5Ms9LV+ziFrcA5NaRzccn3Tgis0AkHyrzrFGPn1umcp/RvJ4OyRCelXDPtml9oZHS4TBCiwyY
8SqIW9qA519JnlNJRvEZzzTJDZCydP1MSxIX9xx5p6u59Y5BM8PtAn5C/29+G3+1hvAtlH2phd8g
DMP/0oeBdMAxx3eTdsgeuzKe5r5HuZOQr8MGT/n/i5LQ3S4KOZ8QGUekWEiVnw30we+HamaSV7vK
6BsRF8gD8Mg58MIhXuwhMMBVZ8PsvfZCpRlCb/dJ9pO9S2T+K8uEfPbSmMU6Zx3N+bP+9Ra1sIMn
7fNADMjUDxjdZqemN/ID2lm64hYiM89xOHyTlGZvbrCxW9EpAmfDLQlEdlVQVSApq3EMrlWi9j8D
lK8m1qsV5voqeF0XzTCnei5zy/qljblc3yNhGu8Bgzdesgozhd74bD67ErdQeq2COp0HeICbI7jN
MDjpUrHHe9xYBSrKDCwiACmrvLKdCkGmS68/RqHg3hlEaBysuLT3dufmOrQR0Q1yZq+AxZYBkSFa
E2072NKRgp1uGjylMAJ3zsDGlgHwiCkRPX5znsncbhnFTkx1yCTponZZfmBG62DrrUz0jCr1nV3G
6iFEU/59AHLs7RkP1aH5h3EDFGN5aatGKPcR4sbXKPCRqjMk/4gyu+11wRTuRJeNV0lLlsOO+AjO
rkvYSaD1g0rwxjIX4YL39WApPyDHxTurbMQwuhj8RJb6Q86+fZVTVEWd1PnBtbDxkzwqVaD+NhLT
Qe1HpLV9grBSiksRUOvs1FYbgez/2FjMuYBILbFnad7Xha2C0mgHumVOmNReNE6lJ3IpvLw5JSYP
tgku6MqCH1qEmEFpohQcGzLyZYTdKfVDDkYxiE74G6n/4bG4EOahGrCvVT896ROkzn0rQM0w6HBW
SUPzboSDylg5yoc9g86tl8jQhXIKDDKk93kT/RU8h9pwailqomtScblb6DN5Q+Ubnh1Je4Oerf04
F6Vg9Swy1mWPxlaV1k7ViVo494NH2ovjWdKGf1//UmtYNQ7wAJnJWADVMDxaPFDh1MZgkrVdqY7K
Y6wl9TOKUViv14N2FHFbecx6cSGNJfPoR4OBMuf4ZiAMv2EWRkDPDfkdovPtSw0jq4tln8x8kLPq
kmqVctYG1NSroBl3dsvWS+V0z1p8ChfAamdKkSPHOWKqSRq2d7aIx7NI7GiHVbr5VuEhgx5jloV6
y+KJaCgyAYVBcJVLRfXCQrVOxZRNrgUN/tDJXeoNCIodCkRo3HrssufK199MXprfKmwQwPbItq2g
kNE49mkglxFU2qI4RTRAAFwWgwvoJd15q1ungjqe2AkfHuD14ryHuGCXXVPj5y4C7MK60XJrIeqX
sdlFOGwuBcsbyBy11Sp7qSwt1A045ldI9/FRRRXN00QEDzrS3gxbRV0FkCWHg+YB3JRF/2QWF9Oc
VMng2Hf1R4Az1heESRBLcMzQ3ClO5ze0SMpmOAXLMUNHR2Nxw0qcbkvPkXSR0rY/ybLcudNMwVbr
WDrLeWn/fP3cb7xG1mO5Pxi01bGXpS4OVBnNnK6cshDxYbV90CjH3gPX8nd2x8aVh3jMvNQMHF8R
dHu9HOAszJRHxuSxZ5DreSgkODnCCUnGf9CT+IzArfXx9WfcyFrgp3AjgIeBuLrsf8lGoZWIx5K5
q8V0rNUyIr7J6ZPWNzIat3HDYKqTn/I0G96etdDIRLwVwsrcqVmcB5FlEqfEQAKhHYRnBGHo4Y2Y
HkW26w+8FWrYo9ggzuKMVA+LUNOYI0peKa7iTHj1yrUiUxxLVRGnODdN2PuaWp06s7CuqgTwyitE
1Zn3laN1X9/8tufUkJYjDdX1dVVKRhSkqoS9gd/Vj6GUNAd6b8x6E/93ouLmK+Nc4wkBy+z1hTdC
OgubEGNm3fPVVsaZXhtLk6opzFTnEaq4/tiWcXR8fZWNA0Pzm4iOxhNXhz1v8r8u/jxIK+4ourcq
g5lPitwNJzUYZy2NXZHTzQf6a6lFLMArtLcE48drK0rTc5Qp9Sy52+scbZyO2ZlYpyKb9YX/cAr/
eiAQrmHZzMV0MgzZD2i7wWcV+s65JOe46HEexTAIjZy5rdnln19/mRvR7mbtxflQtbGvZUrbq55k
+RFZLovxE81ToofiRrzbnS2y5tLPfH3aMzRn5tR+iVgrqrgZGwlRKYCfQQiIIEgvcZvYX2le4QI4
dMhZuQ2QH08e/YAnd1LtwQiK6RHVwGwPBLK1l2bJAlrzaBAjlHK7l2J94utjyXfl6ker32Kq+miC
ZShdXRu6T29/11Dc4bhrBqChP/Hjr+9MI1BoDrAGdIXKl5wZ2ymMEVaG5Bh5qSLejBTiTaNUMt8r
hPrV/NJBwQh06kg3PHLKa6jrzSG2dMkLA9PY6T1u7WAqUrJGCmxrZa+thpU/hBpuuloNugK4qB8+
D1KBZnrYAXkZrIARRh2ZvvBAGiVv38NkH3PTlbCwznnAI4zCQE7wKkeTCVSn+i2PSN0Yatk9x1ac
7mzhjT2DIAt2LtyhxKDllaIMmj2mII+vfd2371GN0v+tgqH6XvZStxdRN9eamaU0lM01xMw2mAZ1
JkI6rWWIh9w3jYsCFO3SGdArX9+dW0vB9SAhNxgArG7K3JeZPSiE1bDtw3eTNEwnM8j6T7FUqefX
l9oIq+S4RG54LHTMl+lckg+mXPjMaVJhxO8FwOA7AB//4TuRlvLmVJhTG9/JZ+hc2fI8c6rC72PT
VocWwM5j3zXazgOpGweAAR/XLeUMlJjl0ZaQkIt9VB6ugz1ZEuDl0qqPeKLrzkkAsYkOWp3F3QGu
GTgrNbfMn36uI/Ab15r80v6Ps/PakdvIwvATEWAOt2THGY3CKFirG0KybOZcTPX0+1FXajbRhLwG
FgZsq7qKFU74g8SYmdSkmsFrWlr2qSsm/pNYjDbmKMrQoeObR/y9sGYLOudIIOwUhYuoVY92GP71
czoEXuwpyQG3ITZ8VBXGP/hZj+lJtUIMCBLhgtx5/BU3NgyNlSX2hwS1tN1u707QXL03FRAZkFFt
jjC65qOH4OS7uBvfPx5pa3UxjAQOiJIGidTyz3+7OBU3C7sWOXP0V3SUjcFjnt3Jzs54NFR4tBVF
YPTRhBcfFniPR954HoEJ81Hp6y8cyNUce0e0YaFXeIoNaXFMWQ+/ybLxnIpI+EWpDjsz3TgZIFxp
t5u8SPeYE3rdM6ZNYKB724yOVRXKryDrvZ1wfOvL/eKLLwX8DViEHscSDGPyFEr4eemgj6/KiDAZ
wrt7kf/WUDS/8S8CQUqev/501AmtKFIpKLR2dWiSqD3BEcn9DLL+zrda4r5V4kZXcUHBw7PiMV/W
9vddMkO6V/UQdxYzVcazLYzmq64gYhV4VZiciiktPkAzraP/cA4WLAF6YARwd73tZtQcGaUu48YA
A+FLTf8rwultHzrN6+PduLmYvDrAkogg7uoI9GUBxFpW8uQoUYrSXGQGqI2awaxVe0H21sZftiC1
bCoWd4+cGH+1P+YE7Z+5CGy4st/zMFcDy4vmN05DAeXx1H6ZIq2/Htr+BEbwqdkuq5OGl5gNthMF
IGeMra80HfS/GpCzH1RQrX9ZdRF/mvIGc57EaeMBJfZQ/7cCO/HRhVijBmrvKHNAvINHpzM05RUt
gn723Q6/vBEDVHHqU2f4PlidW9P2bCZoTpPVFIdWr6xnU5bmnpHeRoeF2gETQc+I/1uXJ3krBhPF
mPSp7N2BRrdS/KzJe39UTtoOgSlNl/pPq08HSYfoszG6ndx5lLbuEmSAlrLTwhxdn4fOcienbRyY
/dKq/jJskGVVFk07WJqtUwfqid42X25RgL49dZCExGAtyA6lnUuAikl3npLis+dNzQWwcBt42CVf
Hm+WrXNA0XXBidPBuku0JZlnF5qALwZH+QHlSHupszS+6LnodwomW8fAXfjEhGAUn9b5gYwoUBBw
gY6RqvLNVUztu9HlWYSumazejF25pzW29dR5wHF+AQ5hCK6WM/bw67CtxbE7but3HIk58BK8pmrF
NX21HsUXo1PmY56zdx8v6v2HNChmQbQE8r8BiuoMiCpVxU0tvDE/4sA8App2p6OLtWww9fhZNoUV
7+ye++kyKHk8dEiU3O4AerIhgklTPDuVUJQXXTF/jHZmBrmMdIyOcutdF1bWQcf6cqcutIGWYGRO
5iJWTc9ifTrc2TLaZMRSxKzq7CsN19zyx0RKWIjYChyhJMN3TtsM8QHhKSP3juV9Cbuuetvg6aT7
HSGsHnRDHu9dvfcCPfS9oCMsTAhjA5KF/rmukxSSz1ip8wUsRwmOCRn18GBpQ/kPBmOVBbtASd91
syh/FJEkIDKFbvwvAzQqfTqHRb7zyN1fJvwm9G0g+5JVUlG7PeZaNVVK3hNMq0UvLsaAvKndwkl8
vAfvDzZlBdBbyBNsiTM6ZUrruyLc8sLCehqUzI2DOk8U3e9Nr9hzldnafKRwIPIoRiyqW7dz6rUi
cXuFKzqLE+W5yC3V99R8OpJMqudCNeZTH1Xms4m8z06osjlPkinwyQiX3pnnQDuB+dgDtQKTAh1g
ADndNjxjiobm0uMl3ZrkoqcN5RF03129pTG6tIBJSawXxcU1hgCSBGXoKebBzZUSN7g5dL80YVc/
pxLJ1p1tc39/0nohXEHVb8HjrOPnKI3s1OQLPjXG3AVznmQfnMiJfVmN6dnUs3jnzXO2bjG6qlS3
EUdZlHluvymQpzlpqsWjejDSl0QXYwUHuC4FRIsW+XdsGYuWjwuzIpCVCzk1p2P53cm8zj06bj9V
Vygac/uKuBuMEWm4sGfjMRnfDoYU7l9DMiriSM0sLV6ko1fcij0omwP5naVcWjubwjPOw0nmd+Gs
eYfYxP7uNDVeZxyLAYwrUq5h2fmUKnoDUsHQvIz2kAq8okIb1S9dC5+LbIBqULnS/otutBv5atyU
C12mMl/Cuo/VAFzsUEPqF9Vr7iSoio6TYlRH9JeK5NhK+BG+k7fUzCLeRRwtzHxYQEgGOmMDjT+F
SScVpBtA9Fhu9bMxodtkDz8sULf6YbQmhw5nO+Qc8sSdnaDsJFayuiVaeG6dUo4HqXYCVsY0ZLZf
S2vQD3kX2u5J75NY8/NaLSbOb2zWT0qKG/ypRwy/uRDHGZ+Lslb7lwK6R31opkF9r9LhT/w+tIf4
IMWoGa+Pj8DGJiQtQL1zKQOwJ5Y981tiMNV4pOg1b2qGpZlf0GsJ5mY036b87p925AyfHo+3sQcx
QbCWEqenI8ewAkcVWiWF0iTpU171uhKY3psCRcvcD9XI+DmUavdaDG6985JuXSmLNOki6Eaner3x
ewQseJ7BFMxpZByoXWG9SAx8bkYhdiKFzaEWbxYuTXSd1oda0JFvEjsHU+DJ4sQt3QaIyoTPHQbp
j1dy48shHkMSgjDD8jIsr9JvX86CoS+LZKB5i5KF4fetnb6SadlnMbnih9Woeyj+5Q+8zUJQG6Ec
TCGTUs5dZCkcOQCMamA6F05p+UoYNdhWKtwXO9fy1szgnlMIX0icd6JYqt3b9EowD5dq2gYjPedD
rzXCp+w4kMHMe2ppW9+M/htcForcxBare3EKTcTSXayCDFXWZzyjmkOVDd1rTwP3+PijbQ6F4hep
I74YlIZuP1rEazqoZZw+2Wo/PEdooD9ptdEd59k2/8NOJAsgyTEgw2prx4hyBkqZpxOrWJbmUeky
02+iuD3GJpSFP5/VUumi/2ovJYbVrIRtT0ZcoxY9FxNag8o4pRe00sKQJBM198eDbdwgcG6R2KMG
9Et163YJE1ObUdVYnP0MNwsM6bm9D2y595GhqM8Cley31DH2wB/3KSs9Q5hIBuBZstb1vVXnFbKq
KvFQMZnJD9pSzTEztcb1W2vCP5zuRUg/xoZqBc3Vsz9HSu/tBr/3pFwwWfznqCTTtUCf8nbqjtry
7vB+PsEycyhJlY3yVvFGpFbruMnfIDbjFq8RhOUWcX/Q+QE2PvXnQlUL4osEUZqdT7FxUEHFLyZR
S4GXJvbt75m0Qh/spEIlfKpQ+0Nh0m/TSvetuM2Otgj3+BgbDbLFFgJaOZuM2ou6WgCPlwkcHiFT
rKe6L2ZvujS9dP20jp1DZjXZxXaq+mRGMjpmUqYUm/vwSboYoj7ehBt3Ic71FD8B6y9EuNUP0QZL
TQqXZzPN8/7ihFbywSvM8PR4lM35UkameUTbHDXF1cFqaXei/IxBSuoueAu38E4YV5s4vCMD0w1u
eXW8Gv4+eVDQWuinRB1AHpMC+/nxL9m4twBgUVajA8JPWc8Xvb6qctBqeJrmKTogZ8hlYmUywEV8
r9q1OWkgKywvXZCl53u7q4ouCZMCmt2TGTbG4KtV51owXfX2JzFi/Q4GZfq5SnrrYsXzmxFlfFK9
Ur92cbcn879x1SxtQqbNXQ1wfb2/dZvgRNbM2uoUuLVxPjzT3erf233Sn0nG2y9UHaa9m3tjWAQM
4JbxHMHpXJfHIiGo0FFRvWrlhCFhJd1YCwxUTE8tdKUygMmOfFBXu8g3Pv7MGyPDn6NbuNTG+LNW
KI3aiTp7EJl3NS3hnPS6LK/e6ExnxYSim6L1g7lMuafLtXGWgMwutisLM+SuGmigN+LEJYMm+Dic
wMjkR3ugxvF4ahs7GLcvWjJUJ6g9rllWANRd+oQoR6dAVw9Kk0aH1jROHRTqP78bcOmjDM1dRHFs
HU5EUsZAFbkQa1AX/mS0+nsRpfrOKBuIGiSBmc0CRmSgdYaOBaslMFVB4xWzsjEYRaO8pprbETGN
UaL4sq9t80UFOb8wouoG4dm4q6I3DYWd9M/DGj4dN5SHWASbdrVv0JYNnVAV0VNIsniqUC34PGaO
5ceO3JMW3Jj3wjoGlcwDsAQCS1L/W9xL1JuDeQPlbZeYq5ZeKGfeOU370emFbIJU8xpxrGsZfkwW
bYigTLvhnSda4+fjDbX9Q4gWeZBgl9z1Nd1miIeeG/oJjYYQM6kqCXC9NRKfQlkIg7HTTl1cz4Ge
6POhSCbd10PT/ufxr7jf1qwGSh2/GJuoHS2H6/fVaCqrxvhaufZqjb4zvwehKNdGdNgqdk7Q5oTZ
aNwQvMBsOf12rLoqzHiILOWaLUZlgRE1qeEnlYErbA564oKsgC7OVawqqe+EgxWfCitqn9BAhtf4
eNobjwRgR+ZLYRTiH5qot7+F4bxMWFZE76yLgW1Xtf0xReftbRHVw9+pYiQ4OEnzdc7b+dpXyFwf
MQc1Db+UMRpdj3/NfXB4+2PWC6OpJM8SxohequVrbDkoeo3a7Lxp0noM8llzERyCQua50fsaXbA/
vwoIhQC2cgLRT0Tc6HYxmq42+gHluycUvVFgMInwfyGjf2DeQOiXZ7X3dh6q8ISW3yJwp3hPrIVS
7twC9xf5AjUnGoJW6Cxea7c/IzXZjJHdR0+Z5YhLYdmzEsg86fqdce7DTv5s0vgFt0hrZf3tK+F4
sTJqsEnMCTKXk4LLtKr+JC079hFFUz48/rxbZ2zxE6G07Jm8yquaRYxSmjS9idutqJVDN9XTuZVD
7yM14u3wLraGWnh5gGeYHvn97RKW7hCV7sidklpK4kc09Q6RKxHoKxHn2IneN8cCkwlScPFv+SXG
+NvV4aRWWZRlFj2JNO4gAwOKtDp1Altm7bXbNoda6AEuGSlNlNUtVWYACKbYRu82V+MPiMmYnwt7
HN5i9uV9ffyxtjbhgod2FryOTTn+dgW7UMF93U5hb5nDeDTrUDk5WV7sRObu1jALOwYoKcEENZHb
YYwisqpwnMOrl/RTcnISUxUvM6T06L2wtP6vpM1yLSgcSfd5qBvxPYG5k55R1CuzIK68ygp4IOYE
DJ+XfirmqUtP0UCt2G/ErP6cWp5Ovw6nqkMcqE0yfF9Ebp5bIgt5GORM5bKL7ejfxEzb2uctwoUm
NpIpDao2d4aD6BQ4jtKxkjjQKbb8W0K0JzWwrOk99kRT6FMhyqd3TVixnVX0MEUwenpJzpi2jnOJ
XLUxgyGO7ZInNTdOaG4UDdJ2vd0eBjFN3pGcPxvwYgBL9KLq0v2catlUvMHGVyBUjSLmcTZTbBY7
PLIuuVMW4EOcOk4vMrONb3aOGYAfln0UHrNpKOTZyUelO2qiQrGzVuvcfUO4P1+iCK1Of9F+eWso
FZjoeVT6L62bF+E1Ntr2J+mtFx8Vtc5e9EY0qCyNBcI50CFFfxRgyNF9ChPUIVskDSq/U7voIwkT
+hNxhOes3+lYvfllqc2IR3UtdbNEMavv1P6TdOeh2DgHoIGWpqmqWVRAV7FLmNAO1tG/uabmmD/z
ruPmm0dAPiTV5njnfN93N8iFF2MYnmpkN7zlx/x2vsO2rYyobJMnz46SI/2EyUcvXB4KqYojCgOH
ssjREnTivYHvswiQM1QgllqaBYFy9Q70etUbrePGT6aaZV9SnBf+GrUxRYddd8UVV2HeYlFH9s58
N15h3NgsijSLHjtUndv5ukYc9k1mUuWNq+6dy6JcUJ1/N5qufE4982/amsq5nQYK8VXf7FzcGz1T
ynmUlyEGAStAF+R2dM+SmlmIPnlCRrT00Nca6jO+TNSlegEHsWvNoXpCHVLvfARJim/gjPr3veGR
TCLXmvmT1hrnJO7Hy+P7cGPLUalYGk0u79cdgNopokImrQpqqsJFk6eT/DHtp8NEU2xnd299d1wN
uXTJAnhWVhsuQX5Nl2kbo0SU2FBKZR/kXvGPakSVn/aed6RnvNeZ35oeV7CpwUhZ4E2rBzNO5yIf
XYiKMPf1ExeIdg0RJXuTKtqe4PfWUMiJkkSSnS+aCbdfOBPAzwiw2NYa7VaL3s9haLUBS+xyPj/+
aBsRDvkwneRFvnSxfrkdKhw9F3CKySOWzqHhV7kXvRn7ahC03VNxTqCGqTunZ2NI2pFLP3LxpaRg
fDtkhEsLjntuhMtYHR/xGLA+0X+KTl6MKFpmTcrOgdnYLEuTl+YFhKz70laVGiMVDCSyE0/nie6n
j2WbV9/AZduB5Jr0rXGe/8PNBDiZlV3IUtBMVzdTDhzcsSeP3DFp+qAddPudMpckz1OXB+gui2Cq
6z82b+Qraja1ajSsUIq3V4PaSBi6g01MN1kVQokRJUknCDkQzn/4hEs0QoxKTgoM7vYTalFXofQm
lauBKbVPQyMOjLRyD4uO3LlKcuX4eJduxEAUxaH0LEhi6sCr8cIsLFJHTMq1zdr6m+OWfeBm1t5G
Wf6U27bTwkSm8k43jarY+tgpySBTJ3OVa96V+nmc+zKoZOkGXdVaf37s6BDCz7HZlKT0qxM+T7PX
5x5DmXpUvYwKhI/C8L6maeMe8fbcU3XaOnK/DbcmlKZgmG36w+TusZf4cWxp59koxcGKc/0IOm2v
XL+1koDReBwtiv/OWmdMGHE3O+HkXWdTjj7CdNUTuqVm0A+K2MHqbg21sI8hOy86+Ovi1FxD49AQ
vrx2c7bMpaovZj2xij1s8se78Fcja7VB2CELAI3+7n0dpms5W5kT4wlX6uXFRmq8B1SQjleX5v3L
pIbEdWPWetkRG+v0Z2v27eiPlJ4BKvUzJ9I0ZldeRGmg5p2TPNsf1cST4hO6vaY4mvjIqAHS9GFz
KCqpWu8xTdPPbplZf6WmqMbAApvzHOel/dGppPUXaqjE7rYtc+MtRTknPPHMVz/r3CgQ1Rxc8RKS
C0U/XALP2Yf3gbNXMgEsCyZdi5ODA4Zd9UcldD2/NoHI+8j8C/dHJwehHmGxRt8SzEpmP7dG1by6
bamOQZiow9dMT8f+jBCO9YV6HI8UGQoq+UaMeJ2paFHmD043gz2YnfTfgtI5naPHH2Mj5qQMwV9L
/spDsuyL32JOadupndQoOsd6Zj/nYxYeZg2l9aVBRPJB0qwAEvknh+K7c3Y3dhxFV5hDEOyRmllf
E51GAKXixIsfhlWdRv6NQx531Htma3p9PMmtQtgCIyDERUmT8Za37bdZiloR4MwM5apg3neZyW2h
iCnZTHzNDlTyWfF5vMagjW3znVka39G+aT48/hH388XMBXw67QmTpsy68FfghNhbJZDEQtReYAPj
DcLWkZ8Mkcmdp/r+nl/Ee5YmH+LKkKVW12JRmKUT2bSqRxpDF6Jb5ZJnTf/v4wltjeIizuQyxEaV
xZJgeOqS8B1TR+1NNY/mFRVbfQ/zpd3fusgtocwD+MReALKrQEdMDVpE4KxA67n9Bw2Iy/dsmKQd
ICOXDwEQa0roKGOId2Sz4jPuAvI8J9BiE6nZ3yGvJn+nY+sBVlbjTzM2ApeR7fz58WL8Qm/cXmqU
WWk5ocJHcHtX36Rck+tuOcZPCFh3TxW1mtlX+7j4d1Dc6EJagdCgDjXwzVxGA3lvIT8VMhuPdao4
B2tw1NPg9Pa7Ibbl9fFP29h4dGuQ5qBdQ4/DWu2GuJfJhC8MQupuN5xxGGwvVoi9TWlr+eHPh4I1
AORXJ19GqOz2nLmKSxssR1ZFKL16UPMez4WyCY+5ke3KyG1sP+DoMDF4RsByrhv8JWEBiDji0QjS
9/eBEmrhV5QZs3No9ON3G/3FOuhJXiO/scL+HfCXYfBB+4jvNmUN8UZESF9MZjeYQMKo9hwm6ek/
aiBeuC+7kGV8ZFjldIojVVDaU6om85vB6D7h3pj85bbFGPsGbd7LrE9pfkijUFtKL9X0zbMA4x5U
q+/f1wsW+2DYElH1TtFQRS2KCZ0yLbJqC/KUanwX9GAo/+aV1foDb8i/01jFri8Q1rdpSMxpE+h4
h4RUo6vkYxNLbw+/s7FDFkglGTbVaFpCyz//7XpU6HhlXYyuSuEmQ6BPsjzqwLY/TEa1B91ZNtvq
mCxNeFwR6DhgDbLajL2XW0bokf7JMv2m9UZ8loolArcw2oPudup7DzbEATd61U9KMe/sz/scBj4g
BQfafYjx0MC8nagG4sDtcwrDrZGph6L1xAEachNEnoexMLwQYI3NnjTP1pQNIvzFvRXhw/WhiEan
yBTkwZ8mNXWPLf2Xq7C7BUvXj+FrGYYzoJSwCM9xXVFXaPoWiPDjc7l1hy6kpSVOpt9ADfR24kjl
jLMX6iGq1yJj33l5caUNFHr/zjg3aH97FJp6f6DxcRWgJpML5k48ipI2unJsS1N/P2ap+0WXpfWv
OVYjcorOQPFejsoecmFruWhGAN2nNrRRl2lMUFxOG14LW7oNyAnwZIhUJ8SANcUr2xdJojtwd+TU
Xmo7itXPWtKZ7s6SbVwvYKnZqcBlwFWrq5ChTFQyo6wlPDG8ORh1O39vlqL+Y0oGCRLbEcbAwlRd
Z2Qiy5wOvXblOteJOh4sxYtfpwhF0KCaq1Y/oa9df3q8FzaeUza/AzkJMs19VSTKiTGzToRXI8P1
89AqtX3uimH2juB0vI8uzf3Pj0fcuF6Aq7L/F/QNtKjV5uu0EOh5F4XXlguxIag+CoN6wZRnxU7t
7Fc9dnW9EMujKIaM6dJsWj1AVtaEWTIL5TpOtvJixl7u+CSjUg2Sepp+sOEkxgFgkUAg12UxX7NU
S36M1G7Kg1LW7Xc0+o3Gh23n/RPa6Ef7pmJrL1Y2Wu/xB5lGv9OaVAukpk4IXxaK2p3aQSmtp1mv
qZo5HRX0f7QOPZdAj8aJGCCsIw83g6l97ccEL1N9nkJgb5lef7aSjqIqSVJcYKZCKnkchmYAghD2
4gftFqSS9EkxPw2apLnU1l75XqFTevWoZ5GwCMX0XolK1GfMyzTtYA6mXb1wfU/iA50qUNZunxby
EGo5uO/BbOQHk5BbCdzSy6DhFqXSXpKsRMfeLRstPih6a2Kvhqvi2YOOmn8g9AfQo1czWhGt601W
gEeAI4Kk19Ue9+u6f9eooi2onjo0T+Nc/dzDJfnYI+vU+kqsDC9J3tQRojNcyYGcQDdWhed+NAwS
KoDbg/PWAAv2xdW6ygU4g+j0IamcxjzFdE3Buct0kodSyqnxi3ag2YW5ZdQGgnUZfBnhyOQ3ZRi7
Bze2Xe6jIsz7A3Y0aX+ADaHmCLJID4LJVOXwTvRIUX0nq8v/wZTAlwlJ1fTL481+/8Tg+QnF3YXp
hnzqOmcfWmG59P6sq0ox+SgUPfmao858UosBRcnJmk7YE+zFXRsJzuI0yq4nj4NTvH5jYkEyY1mt
fZ1RF0MlyWxMdK7MarboSQLw922jjf7JWwOvM6qTLp9Ej9s5f4awlHU7S3B/3m9/zHK1/hZOIEPE
x1Ec2P1ZER1K7AiPld3ox0ndddTbWG0wztC1qWvRYl4TLR274GCNunnVuDkD4P3qU29VcYF7pfRO
koPyIgzUxR5/440JgisliOGSWRomyxX72wRh5omkLwbjOnBtnkNbbQ5IG8DNGPeU5jdGIjEHKsD/
mOVa/jURNirlKRYyPdjtQyOs9FWosfrc9Fb89fGk7t6FX6p6AHWsBcbG+7Ca1Kgk9aBH3rXWlVfJ
sj5pY/fJ6xI0BKUR7T0KW8PpNNZ4EJjhXdtXK80KWFKKxSkeNUcZCzMgmNACLw2NwCzknv3m3Uou
nbUlMyHuBBG5FnnFKSS2QlWC0Qud4nM4iBB8lYLFaV1KZU9+4i6GWQajYIckAq/RXaEVg8DIypEV
vFpZkoSXEhyRFeSlXhwb3e76QM4NfnsD7hwRt2Scv+t6We6IxW0tMPHeLxakxcO7+p5Spx2Bralz
dWlbv0Sz6eTnAbRpQ2yfl881V+hOZPFL2+fm9WXahDMGGvtknHcpmcntXQDs8a5x5trdpdG6XB4M
emgQg6EpDICq8AwptcSCA+f1pXHQxBD+7MpRvwqnh7wcu1n0uU7iEXxD3WUd1Ppc7NW87kI7fiYF
GNq6IGSp9a+Or+JKnh8FI9gGGOMnHdXmf5zB+GMF8mUUpA+higH9JOq+PU+eDlsNnw38Xstm+lYX
sw3GaqbHH6GQ9Pnx2d2a0UITA9JH+eHuMFWGN4aSfsYVtZPpSEzcPyd1oh8ej7J1hBA68eDbLDJD
6yNEdFcUJCvs6nTMggwvnDP11doPPWqqj4faOkAk9eBCoK3wkq7iOHvscFwEwH7ttFKNfMcajK81
7/aHvi/Cv3JQCTF2R1FL6BpOIPhs2ibzTgawdYAA6qE8ttD4mfTtB9QwtcIoa3avM/jAxQ6UsgFk
sG5IKeSWinrFjHRv3hsfklIap5aUwFwUv2/HnBE1JzTX7SspjXsoy6K5GIj+Xx+v7i/I5eqgkmER
p3A5cSGu22pmq7lKqmL2FkGwqrtDJbuxPRJfpB8LBAXEMSWRdQ9a13QC6ygbCU88t/L2PQqmQGhk
YlVNgAOKYn1rMUZ634cYofhAxKMoUDUp5rcesjjx29CJq6+isoTyLHuEsYLZc6Kfg2kWxNhKKU/I
7XpdoFrYg5mhgslWj38FZledZuTXeqzCL6J00p9un2UfccE23APKPrN70U18goKxbYZvqjODMZnM
cfx7FGa1h27f2PSLADLQj0XQgZrB7RdRx8F1shHjMsdt27OmRt2pHAzlVImsPD3+LHfBDPUQWnO8
8qga8jCuhirzOW5tBRPumVg7AAzi+Z0ZpwdIIfJs6QUpEzJix8eD3hcul1GpWNLrpB9/h8KghJvV
FrKJVyR6lBN5eUk6QP/mY6Vp2lNCKBkFJT29l2lorHeyy4oXhYLGO2Fn6dUePDgkwtTtbx5yvPFO
PrdxHCxWHb0aaPz8utU1wMNlybSmFqArdvV3qFjywxxNzX9Zd9IJOCo6CfE6eE6NzhFJ43pXpUKj
LkUgqArCPDbbNw6Ehv6aKl31d5NmCIo/XvuNW45QZHkgSAgW8vTt3mr1vK3bdAivAJNp9XjCO8jJ
C4PZTsvjmFbqk5hy7yi0aHrFqPePUbB8ecoPBJdscPNuv+HLO2co63sEl1Z/rYWXBEqaF5e87WvU
rLT8TesV/bHrR/1U55a+06XYmj2APPoxHiEZhMjb2c+aneZakxABum77ZZFzeGcZlcrSO6j1aV15
aLS880kgx2By1F109Mb9jiUkz9kiCsMvWE7+b1E8853dsMzDq7mwd5HL68r3qZun2kH0Un8/SV0p
yRDb5p9UjjEbL3P+11ix+QyiY9QQTZbGdBE0Mr+FoUmQUppJ9H6CHV3vbJOtK8iDc77w+n+JAt3+
0LnNMLgeCF3LpG2+TXrqABZIZ/Lw0YjGnUd+48iBdYPcTtdxyWFXR86JpklpI9IAHVQrnVJh/WtP
av+/xzt/Y+3JnwAIANOlWLNe+zLWclVRKh6gTNoXlLe0z/EsxEkNTUUNRPPH9C+IvfTDFkQHirt3
0X9miLYe29i7jlkZnjuExNOjU/RtsZMZ3stdMBAYU0MHvEVr4pdN52+bSupIcYQpgUupCVwzcm22
XWoQvfENTy2l+uiF8/Cj003EcXkIxHc9T0wcXDyT2rNTJvVT6tTJ8Ocb6OZH6bcbCF9PB6fLxsUs
s51PaMWHH3QMg4+NGsqdwO2+ErEsAGgFXjLQUAQXt2M1Rum0Va2618kM+/MYg3tKIOf6TuXVl4Lb
JoBoYfgcmQRn0okiVV/m2c4m3jgxXGwmVf6lKsLDdvsj6rSRmVJ3RPg8ty+mrcBHa6vwCdXePTe/
raEWthkdSnSI78L8spftbBXsrMoU0b+dGPojVuXii2NXnx6fmY2TycYFq78QyLmxV+GBZlFJS8DO
XTurM49FGFWvsoudHS2ZjZPJGAsgEuzyfXlYujQurZaoFykq+UWNRXoZ8Wt6n7DUUZB5vf3j8bQ2
noGFgrTw/HkKKUnffiuRFsKJ1NK9Vh0wZd8Zm+RbPjnp9DXWCiBXZuXF32Wb969TDkU3GNBQ3Tsg
W7t2IcXi6IMQALp8qx+BaLPTNeXoXFH+HL/RmwvPLebEne8ORpn6ISlA7EPmKyUNibZ9BiMgn2YX
q5Od83OHxyDRWEpLvMdLl2p9/c4yRPuqV62rF1P+jHrX8DVrzI6phspxUefiw9xLJbCQEtp5jn+9
t6ukALYEZ3bRN0EhcHVoHCx3nDFq7Kvr1I48mlNnnho8Ul1fH3RjeIPIZd36BmIQl8ozwk+xcMJP
qefIt3OXhXtHeCMYxqtmQSRziSzkxtttEZJixXkeWle9aDuMjvg+/gjx4WAji3LS6rY+ukUrvz/e
jBtnDIlEByVBgMH3BGkudEDyTWFfi97+1simfIaLEO9UZjauDBSlwTzDicZyaN0DJa3MIXgzNZFg
cV+oU4Nu+NzPP/Crs5vj4xltDgZIg+4LAG+MVlbrmEaLw/ZMPTotqmuJdMvTYhB78LrR/PNonQo0
OE1a2ku/Z/XJWrWww9yerCtVHNAZRS1Os2plOydkc58StMIm51lEpHAVNU9qYYzhnFpXaU5NdnTV
skD5p8jT17DRUhE0Ukvf9EmVZgGOkPHbvgba5JfTiCNyqRYoMv/5CkP3XvxG6Z7ftbQ9p+q6fM7Y
qXoVPw8Ulip/hHeXHdTBNfudp21rh8JeAV4B4O2+tEit0pyk29lXhfZeIOglBfgA5zsp0daugXQL
4BZiMU/p6lOauAwNZcUotPEh6xnWGGRmM59A3/T/YfkgqPOeLbgopC5vNyhShrVVlwwFHyDzc2+c
rl46eYcwarWdobbWjq3JDfoLNL2OOuOkVWQNQfSqOkrxNDAeSMdpz7Jt4zFBb2Up/tEfwKFxXTLw
KJW48ME5cknh/RRYaYdBKIUYfWnPSB1rQFN/EiPZaBwVMsesuyqzg2GOFLUeb837x5xfsoD7FhlZ
ou3V2nYRHXM30ayrA4jqZciyAWSlsKMBk2ineKPPQt/LH7aGXOBPy0lY6kurnWODWE0iQsSrDlPt
Am9pUYSBcnWKsAB7mox+r5p7v1UpDwBL56P+smVYPd0U0YfCcBPnCoFgOKRFG52oJ1nHsgVR+Hg5
N4eiIIFw3FI8XneXjUk1QEha9jVX7ALWtIpnG5Klp6ZL1R2K6LJMt48xs6LnQzTtEMOuhSSIwGg0
Y6h2NerWOarhNJxmMXzXksk8ZqlDSTR2Q6SzGgwa5nQfdLfQ4e7GJ/9b+P22DZr79lSqqaHEwH+c
64QzERiIqP2IY5b2rA4hXsCNNp6l0Va9n+G8lPhGGY9vka3ZwypsLTh3HdUwICv3aeIAVS61zMi5
qp1WnHTIFYFpzPlF0+nXP/62G3WwBVzI1+VtWTiqy2/5PXOrQBjD+bavgK4RUEUATP87T+OZpMVV
PuUgGM6KVXgf23ayr9NUYnffQ9N8I//P3nk1N46lafqvVNQ9auDNxvRcACApSpRXyt0gpJQE7w/s
r98H2TU7KVIhbu31RnVXpUJJHphjPvOaTB7OGlurN13cJzdWl44f31+abqmHb4PpjYAMcoIID++v
Yz2xuXUwn9sgDZ3+hfCr0q8HI1MkT5M0q17rs4mCmYVombqD1SNASk/SNLmLwpqyHiMMPCu3MGrk
uuIUNKB5XVVS0VY7I9WN9IqIv41Xdc7Xu30zlrHbW2n9AZbNLt+nwhThulZAsO6EXCTqrnbo7t4Z
MRmB22Hsbp+qZR8CF5rkcn6KMqctPLPV0Y2TDGfCTsfUwuQF0E89+L02ddpGsrRcORG2IjTPqQJT
99D37oIPC5utHMTBiBibRyc7TM7bfmiQKIWePvo9mvEcR3rZvWRmlKRrEPlguKIcYTovlNAX8Qq7
y4VPfEtPokVed7qMErWncC85bea2TVKfdlM8BG4MJ2F0kfFHwA45JPXKjks6KE1bIz6TppOSe6oW
t8SewKNtkEZj/9oYZW96sRp1kS/XHZ9s4iC6Qjqv7k7TuFaCkzCoZXWFix247TZ0hvY+7bRcNX2L
4rj1Mg+NEq4LvbWCVaUB7F6NdjxhDQGGds4egGfY1W5MYqU4GxJjKtdNRkrwOpT5KHvA283eK0ZV
L1dx0SEQVSL72VzLWSVl6IzO03NTG4Xuw/TIbgUq9NIrvt3lRVimmuzDqi+MYdvOrVIJtzNDWT/P
JrxqvFrXxt3CjQJN0Qvj1epUI7hSzJZqNwp39YNh1n3qIy8MeEwRESgsmNWq7KKUhuovuiNyj+FV
oN5D64/eFa1ziLjUcdzlNWTNjVkxfW4g4OYvtDis2qVan0Yu8jDK4xSoUnsJWWtU3EbBpXtHn0e7
MHpzHlCL0pO3DvnS6j4Ks2zaUG8eduhGlfnVzJEQreLQUBM36dOpdYVhjqeY5PTBepjL/h4pGNXx
J1UabpTAMM5kOZXunYl/0CyeJs7g2Mq9boqCp5K0znDlJkh7fxDTjCKCoxSW43axFc0eNJPyJaeX
G3q6XmlXDUWO/sxEfg9Bw4l7dLW80yav0mqstyL2lx/WUIgX0dqd6jt5QudCBq/TnaVBk2ubVIq1
7iTuu+IdqlU1+AVm4a+506W1mzpGo7kV6eh6Fmb8EiMb8pxb+Ni6ppwhoRVKg/MjbiNZoe+VKp0b
9t14LVUSsWCSVHHrOgbNOberzVhZ6wA7nTUyh3i+SKTh/hgE9Fij3lLI8eK82Ao8yqeTVMurgIvU
4/MEx9c3MdhK7StKNf7owsmMfBx67CsT/bii981m1KzrUQly3dPioDPWdNehKzR6FQmys06RH7QW
Yb1tlplhedbAiAgkrzGFNfkatGmAfZEB0qqoFjxio1vk10MbOQGSGINB5NdpmnRj6VVunVFvEz9y
QZ/vxZ7SDEPPtguic6VJFPN+TKb0hGAVOH1cRi1I3TobB3E2pqEWXFpqHDfniVFZpYfCpHNGp1wk
q1BypvPKkcfXPpmpgUEcwHQgUWr9uopSIV/NyDQ5bIVow7CTZvpPhRZI6sFXdcZTzW71fkMjst2N
FAJMN8NJK3RLdF9QkQTKLa7iZARJGfQ1jogzJBE30JQe5FmTFA8DXo0QHvRuHqCXU5u76qo2u5DQ
dQ9O+qBK+1VHRSlk0uWTgfxbXN5UZaGAO554YrUx17dtnZbDvRJ1QbYK2V4u504kFnQXSX42K7u+
RFBX6MhbtrICt7sUsFopS00u6taz5dpCWFcWwmg6fB+UyXZKhcrGNQw+8Tg3EutDC+3mvDGZ2+uI
8wCwaJPanmzC0/FQA68nz9Rw3/ILZA2nB+yv0mkdasDZzspZifGBCce4fIikVigbHYb6bdRNhbXm
3drOBYf91Hm4nfWXVVCGowcmcBjOq8kCioYqjCV8LW7mFKkIFADdLJ7a3NVrOco8q8z6ep2lqhmu
q4JwmiNO6bKVpiKIT0CilGsjx93Mi8Me9FefqsbPTh+F4hadmiEATxbnUshj8k7YhrnWlJU3I8iX
V0Xq4nfLarSrLEc7BjpjkbzFbTO8yallJn7Vh63lDjALZH/oJv2WSnkCMlWZZUgyzL8HDuQ2952u
nJ4cpQ5ue3Nsz8qxmD5G2xzpGmdT96Mn72afKEYhXNwP64dBnTNMczNpbtZZrhQ/LK2tnqpAiW+p
JUcY3qRZtUL5UsEQI+7tZyOlZozBbRGnfoF0z4dp0xc4DeSoL7dKV5SRP/SRfFnaUlpv0XeOL+bO
HkwvBVEeuKLHZ85DUCr6gfB2ZZGUMKu9RLbyaiuAfyY+fW9z2onSNB4iIEEB5hCdJbuIeI8fg03H
BiUtjKNsyITnDQLIums0BirDmWmEOz0rqtSF1RKh0z6Jxg/6lv3MSK2ZUrAQLa8MeOB1Tr+FLqcI
x9mTiiT+OVfBrK9IKvAS0oXePvdhqVQP42jn9/QWBwkqUokoT2FE7LQ4K0nWtpuqaGvjNFGyb2jO
89BP1U8dFxt9xVaUy09TP9bGOmgCBa+GaJL1lair4kK18uZJQ32PQ35QxXknNeoj9QQxe4bWdqOr
9eQvbqnyfZuqnGLTr9sR2IsrsrmyTy240hrcsLZv3LTJYmQhkH1D1Nwsi+thDkeD0needV7QysGW
UNJ6NEn2Uo8SW3BnFwjZevZUt80VIaTK+ZLFFaxdJ3FKf5Kk+Wdh9bLhlh0mK34DRIHc0TIn7XQU
qp34cPUnZTVK2Shv1N5oTlpFWIYvlUkf7TLVmm+avqz1DR6SzHFgT+N9k4Gn9DqhWp0X2U6a8UZq
Eu60AZoLFMnALI94obrAyG2eTgzUQ8n5w2D+IcKIu3TA1d7kZTwonm4OaCeOk5ZLEZzcYDbfCtHW
zcP3Ye9hKRSsyVIfQ+Zz0WfdS177ntWgR6myza1c36ZS0g2+kFPAjNpECuSGchCetUhC75LOUuoj
CdgXqQcyUQhkEWWCUNtP4mGLyxknmrJ1MmcJ0sL4CjZw7lZmckyb5IuhAC9S60UhnW7Yfq7Hhpxn
kmAvRrh68EPiKM8KgvZkEtU/VvzhhhDEp6ijK1SX9zPYUpPDMhpqY1u0mrEK0FZfh0MeXn//5r6o
ASyCahRuVapUB53dUuSd3JWDsQVDLM0uRJjqfmRPutWCoVmbSAf//H7Ar54gwFbSN4jiEKr3stVe
b8p8yBwAmcSVK6UX6m4oLJS8svSYrugXs3IRdIfPgXUBLlZ79dSxhyiI7aDO1lMq9WpGU3oVVFNQ
nIhAajeo8dn4HImh4GyslOiYE8fho13aE8uMpDKAdsPeneZpGxdhWQIIFaG+tuQ4OFMzsLW608s+
YnrTkZou6e8XuScmyFQDUUIBNLe3DHPC/Lm3VRWJwUh6qRA4DPBu4Cpcc260zGuaTk49UfR975m5
Lc9u2rbtrg40GVxWgQvgagqh3eJigjk0153YL2qLB5Kb0ONIXD2U+9pvZM5UjgqtxIqolp2XSWtm
9NkWiSo/s9IQQ1tdFQ962Evjw1DUaupVemE89nKqs1FJcQqwea5MhJsDgjYZVfEEB/YcRs3ciIq4
qUdUhmSgiqVVqjoiOOVbgvms0pednsheafyoojOTIoI72JcBuJPppq0tO15JfV7Zm7HOoqumkif9
uVG0UcPISkUnnYBSCb2Kgh+KMBEHXOhnlSPlrgxBLdiYYTOQHAVKe+M4bbnoSy9uWRdJrnTjCVAL
FYGPuBhps9S5ZHqyLILO12MNQU07kSVlQxl5TP1eCg1zHTujUvgEQUWHUItZlyf1aBFyh6qaVBe9
qSDkAZuhTn5Y6MxJro3GanwGb7muVlalV4gOYROONZcG/eOHTgp/OY9g7L3EFFrnVV0yz16ooSDv
mi34Bmo+k3w15nafnQPnNm5nw0lKL3Jgra76KFTyleKEJXbfCL8DKqc5oJ9UfTm/jOOs3Aco+3AU
51UV7iTFaguX/hZnj56XOboqcR43G3B89VXnLNAtFElyhzhJHZe/iBLjSsUKB44nxe7InQJptukC
hpW0En0TC89CMopaRWckrVdUTnstaXbOycA5JtaSqHkGXlpO2l1RmVkXurljDsIVaZfVF3kQ181H
MjfFgynHJumDoU/2WazY4Q4ZUWwjyaXSzgO5E5zWTYrNq1NINgqUcla2u3xQW+NkkkwSF6ja+b1T
ZLUJjUM1WAeAAB76oTNPq2pUnU07KQnk6jycTkVmNKVbxUbQb4Y8UWZfmHb22MWw/hAi7PXIzcZU
u+2MynkizUluR6dWz0IakZLXRUae7SoblKzblIXknMCQ784zfYJuOaSzlZwgl98GXpvSKFiLLCFw
yAEjlz6em13lslRl9JZq1b5IIzSNACUXaIm1dVhUntnn5Yuu45bHEsycn3qYRwPrZq70FcGWTD8y
DKGnoEugzJ4KEcZANbHsbzq50NOdnCHRAI9xCh70PJ9zVPjt+JEY0co8MzPmO4ey+Ec/1/K8qsNs
vEvnseo2EnRzgSy5tnxnMsbpOm168yacxcLYkC1BIagwiouqz+qSxqehvZECzNL5NDjd7VCg7Or2
UJzlVWbHdQqNZ7KsTWB3MeWeHGuKdQlW413KzGqC4QJQ0O21XMsxFTCmGyTv6sKLqDGqroaNQb51
qqLZxG3uOJ5Akbv05MkJZY8QPi/OxhigGrpbcszL6gTE49nptNKNJC1YxWkVOK4smXW6JqPTyO5w
k+alSsZaG6KO7oYSjGed2neJR+NhzGEEV7S0rVIMd33c2LQ4HbW9S5rSUn1gBabpKQbZF52nDOdm
TKMewzbU1Y1Rh6MfJH2F/BhdnMgTYStv00Yb+1XeNFLnpRPopu2ohrgRKH2QXJFzm8+52kXNkSPi
sKuCqB/ceirVQLk4JT4XTjMFljnCLNp2XkootIJbX+1D51h9dvmazxVphgGwxaFH7f1ACkaxCpKS
OtG3IGO7xB2Mtr10iqRoWM9D8U5Xvbic2sLYpBHioq5jJpW5cEhVpBO15On7gOMwCgA8i5ipjOQf
oen+PdszBtMWNZAtFkflzgnITyVV7U6p+1nXlPgSdBSdzrX1PN18P/JXAQCQuV+Iky86cyKrW9Vq
W23bNqp9PXajQo4x5Wu9s4uLQQmkIz2zL+908YAGpoWK6H5opUeoGw5VrW2XUM8tHVH6dq3F6ywo
nwMnNx9JkXJqlU2//v5GD2M6pNMJ6BagOVSb/QBcSnpIiZqpbs0snJHAMjp/VFObqpY8HRnqMMRh
KMpXCKDB28Cu8PMMprSRJokRalvgDrOf5W14LtjMLhHnTtapRsuzNy3T+/7+vlg2i9Uk0Sp1fSD7
y4P/rd/Qm1NbdnMib4Ve11unC34ak3zMvuCL2QINhceHDSPuS/t93KqPyhiBfXk7KsKsPbsb8lds
dsU5Wu9OvWrt2DjCaP3itTFboO7wfzBE+5jW2OwQQA+1eTul7KCyEcXIKBXxupPs/Ahi5bBHthg3
g9RwiIMp9u69NqwX1b40OmWLN8i8mhtTfV2kxTZw2vTTBkUGj/yuQXygI8tHPvXIjvTFs0UmykT9
AtUH8BV7w8dRmlkZ7ZptjwrcqumB8KZmEhCWzonXDfr/w4IAl7KE4b8EN/bxOXlKJywX8rzt1Ub2
qjktkYGM+61h9NkRENihOB7gASbnAr3hAbOtf56cjWEOhdGZ8jYPSla2LFntyyJfX7vKEDU/nQyv
HISxtKJyk8SREo+UbxQwRRvlohN1CtXRkntskken+MfJJZdGVolw4NJi338Mei1asyP2Qpo0Nm4a
TZtelX5MUn+wK/1npVA4ObJSv9ge2OnBRSF8hsPJfmewzmD5mVYKKQO0xbaX29GfZg1DRqPqThfz
Q6+Dtvr97nC4jKhsLiSyJc8zUMr7/AJKpxgVY561rRGUYqUMBT2lgTaDgyjgPx+KkUAWU23ByXh/
hwdHacZBxomiFEZAd23osg1qMea0SjuEAo48zMNtjy0P6hvZOhsTvLTPN4auOkZwkq1u5x48PbVD
83wWunFkazh8ZaDYwKDCQQNoBZjt8ygJppx1VocyskZyfN4YxLixmps7Y4JO3Mty5U1aprx8/86+
ujUIf2AIMe1Ca3ZvUHQkA0uPZXmLQWB+1up1ui2d7pho3Fe3xuoEo0iFZQF2fb41GxqNquMauYVE
ZF+qwBxoson2Kk1D/a6uHTlwpwik6pE44Kth2eQA6DBDLCw9Pg8r2HriOe7kraJV8rUUJwjWZEa8
7mmC6Z6SQk8gOkj6+si4X6BpIKXwQFkMiJMxaT4PzERS9R4e05bytbVQYBo6s1ljzw8o6oOpqYfG
CPyWEHRdxSOyYIrIcz8tWuuYncvhmuRKIOfQn1+86PfPG0nAP1Hymgh0mtN1QEF7q8qtsVLq9hiG
6IuhECqhSrdEBodHW2EJEedLe0avq4sgtsVFqggUSwpJXf3TSfvrSDFBYGEeyNHy+fFCN2vLFiOT
rUpfoPalwKAfZpS5cmRFHi4OSLeLhewCamGz2Zu26hhlcY6xy9YYk3IH1r/wp16Vj+xlX0SrBAMQ
ISG1gWDdvxtqmYVkVLq8NUcOAtg00GvW45Qk6tpO6qr3DNElrxMVNFrJbZEeW5y/4JR7WQrWOkt1
UGUfOJgjkDP0LjQnhaiOMqTbIpcMeyUtyPnpPGYVGe00yC6QdPUGAQva5PBE9Z9oxDmPjllpP+V0
HB4DbNGx5qHXetHVlOy9MVrkxAe6l8+pNqj9i6p01JMa2veu3AGj3WoIHFxqJEQvaWQbT5UaR7WP
0brUelZrdc+NkcxnWpsKCe06OB5+NVGxObJYvwiJAO0uB9YiZHxgf2MkdtmmgP22GsYG1NpGxMml
kL4vqbYHz6w7+X7y7i8TKGH20iCQeekL/Gv5/W8xdJtramGbkPO6PmponNGp16Ws8qQ8qrZHhlL5
rt/f7C9+LdBgAISg1Nl0Po+FoFhuU5Qc2YcSOn4tBb2LTLJG9WJOAdJ7TjOKMxQXMCuQwjh6Aj05
dKdwx1DTE7S8VS8ZyqZ8TPRgsi5qIMBeAxb5ZQwwg39rjMzZyYNo5dG168g0KRQNBgKGvaGkPsIV
RnTZRqNBl7yputIbF08tL8zMIIRebslP8+TMuBeiGirWYyajjKpWdTP6UmtmrSctbCsXfzEo1fLc
1OFJN8rjgyGpESjZ3OSGRG7boR8lQ1VcDcPQro1R9NOFHuQULlqkXZ0TfXBi7apWw4TjNOxTNE4I
SqstJb043JTUQ8wTcDkTbn02Zd4f37+B/ROIF8A5oNCLwZ32kB6JpEomsQ66bWxXNoIPqKtttCDo
srOebnt/QpVRfXTKaAyPMYEPziCGXpDoC7WdCAlw2Od3j1mKqkuS2W81uwlTz44qXJSioQyf5TK1
ei/CMUQ6NQWK0ltFSMo9qxNF8zybQcf/46dAoMbSkmnlAGVdluBvU97qElDwVNu3bRv0fomEgpso
ifnT0UEwmFVeebrVhkc27183uDf5aeeAjAMjB7Z7HzmLUQCFvqrstgO4uJ6U3HQulZw6HCJvA6Jm
iT5S/Y2moJTP8zGEOFGHtTB9KalaMDpKmByTBdxf+hZ6Qst5Qj+LIIh/f34OUREnMWqV01YvSucy
7KRka8uD5s91mx7Z1faPLobiaS8TgAxAPcDzZrBGSXaHmZZPl5zoIs9OK+B2m+9f7FejoBcDrB19
LuS/9+oBeerMgaT28nbOutyP5hS2cZMd45d8MZU16la/vHh4eAcgfQORp8FO2aJjDNAXZXEZXUC7
XVl1p/hquljTQ68p4/rMkWrzQimK4cimfbiOuQJqZlQL0cegw/v5zZVDC05Hn+RtN2TBCQi7+KSG
gLuOrcDaplozeaUZzkcCg4OMdnmJ1FlYwaidkj7uxTlaj8BdNiCuiI0leBw1sLClleA0R+uuGOVt
X6W1To+C8q6iTi1SfLpcn4GviwQqf/RiIiuULHCR6KQcubYDOv6va0NZAVIDZ8vBMZaFDlodkZi3
mZKpZ2UymEvzyK5frRmXGkAsfT6iDkejxm+XJgUYIGcutnLf6JEHxDosPFCgSEJN1VDELlymXD1p
BNGFJwmsMl0Tka/G0wR5iRdEg/mgaa05uk2F9IzfqXV7ZZJUj54MaOMJT+G2Qle77mmYUMl/GVj9
l2MeJY0bLOGL24g6L1w5lIcPbCxiap/CSmLXELQH3Axc/ZWOiv2T3InqmHHVfoC3PCp4AijG8JoO
xUB1swpiR7TztjGU4EI2CmuXJyEuGvqcOm8FKLwPPIy7Zm2VjXn3/Qr9Yhek7EwNBjkASq8HsTIM
MrVl/cxbwLpxubIm1fhIQ7QpXD3NrXEBVwWXddIlmdeyORb+EjQ8ZGLEu0HRBdXx7y9oyZU/78qa
ikIFtdklACI3+7ySJIgEuiOEvK3ysozXNWoOPXJY+LEpGsLRrohSekEKCK/cn3QtBq3LJDqS9X6x
EaM/T8DN5kVdfv9oGHWpCIOpGbZV2SRAGORpJUtpcEvgVx3ZIr/YOVD8JP6imE9wvE/r1NsgILif
x+1MT+ayFimt5byuvCGs5NOCnd/P0yT790P+j5/j/wrfy6t/P8/2v/6Tn3+W1dTErLS9H//rPP4J
DKb8EP+5fOz//LXPH/qvy/69EV3z/sf5S9X+wbbx9iListj/zKevYKS/r8R/ES+fflgVIhbTdffe
TDfvbZeJX8Nxzcvf/L/95R/vv77lbqre//Xnz7IrxPJtIZf159+/2r79688liviP37/+799dvOR8
bN28Fz+jP8CvvxRMjn9/439/7P2lFf/6UzKUvxY2Emxbii3AdXSOt+H937/S/4KHS53U1gCFaKhM
/PlHUTYi+tefxl8WSSfMH/Jp2HYw1P78g6r38iv1L+S1wNmRRhBx/NK0+e8L/PTO/ucd/lF0+VVJ
R6fl08bn1ITNwiJ6gZBDNWjROdeW8P63uKkWipoCqTUITIIeGII0q8KbdLsCz9imve5OVFVbECPG
mEFYqYcnrYl0GMwipeOBVObslSNYOl/MNSIFVYkpuBtqYbgBKqToa6oX6TpOhMhXwpiHk1Kotb4i
CkQUPE5NaaC3HiJHjMtv6oomCi+bVmLRUikLazesUMz1ArWKQDcp88yuDAZ5W2KW9uHgyXvfVzkt
xySohHEyW4E+en2Tl/WKBmcgb/SplapNk3RzCnEhCsZb+kLm6dD27ejx8JsnphpYFCWxzeu6HLVr
M+RQOcmnMnlLpam+SWUnBbUY9gNo4og2oypoe7Rjn0gXVjGMJ4Os1UA2onp6z9VSVv3CLq2fXalG
j8gl2DeGluUwVEtrVnd6oEiaB8B+DrySE+sH3WTQs0huI94OEjh/U9TAzO/lkN73PSJRAI0DScfu
xFZ67Q4wL0qDoWUhliTPBoyhIO8xZxLmSK+3o+eOtzxnfXwl5yGg49RJ8wEGoNbxFqMeYIaddFJ9
jqZtnvOs07nZdPjqUD2NwvqU6nL9RhVSjmntakm9bqzJpouYZBrVz6BRp1XlzOVF3sEZd6EGtx1G
0xrl7a7K5vw0VoJhAb90NZ30HG75JnCM9LKo+pbXqZo5TvA5CD8PBrV4i5xRbXZdGkqomKBy+zjJ
kv1SqIP+ZkYFfUM6S9O9nkjhA0SShLuxUf1ZqZVudu5IKT0EWk4VEYTJ0HIuVxC+znUUEt/Doi7y
y7RudWWNhxrZAjC+MfkhwMTpvhgLIyMR1ubRVTuerVuYcXquRGiLuDFpDkCGrOrMG8uCS7t0reUt
iVeo+MVoEWiAzq1ykDdYUN812GBwsgAFGUa3rlhnXg+m6xEh+1x3wyYcX6E+olAM2jJu/SCemse8
HhV/rBso3U1u2tdlFJfSWus5Ea8VzIQaFMDKAeeGTB8+GhE48WnWJlH0wgYmbBZBoFlneSvD/cgn
tBR8Yto2cSGzmsG6AOSPPVRL0Obl81iYxB5Z0rlKFglg2xaag17d1lQC0iQMk82MW8qjjI7Re11Y
FhaTplUpropOKi0KTRty3pVWnoxGWFyLudHHtQY0ltmUMt/92NJn4QPw0e1VNRa25scJaDZf6h39
Q0rDqmKWCAl8fWKr7c7so+LFQjuJXF3Xmtt00JB4wPlKJTeTMnv2CtAu9XkXlWJcqaDuFV8KZUQL
+3JpIcO/qdwccPJaUSs5PhkBF29GMOzgkzK5v57LOnisorBZ6irCvsjlNmh8dj5xlzV5BAJZ1dI7
JDxSNGXU0XoIc9m5qehoXsmTBBoe4RKPylBX+lxO1PlEMyUIrDwHI1xHXdmxaMEKsEPGD8Ra40sA
ksPe2k4XZh47dZ272hgTp0MzKS4HG63glTmorM2wSIarKasUzQXdFOhePqUpkWJDS8cDBuEETFF4
Bb6tpoSbcVJYJ+FsIsSP2nA7nmZBN/a+DROIWY/xQoZccm/9nc7//xP9t6OZNPW7I/3+vXifu/fs
03H+6zP/fZ47f9HFpcfAEbwIV2v/c55b2l/UNXUUCtgPltYUv/r7PFeMv0iT+Z5ffFN0jQjf/z7P
5b8Wa10+g97O4vwBKfXPf3Sgf4p9US9GaBC5CIf2L5UQsoHP57lckCVL5RT495ezm7tvz7F7FbuX
oXsRuRdX75sfpx+Pb6e3vz2kv8OK38MI/TMt8nDUvYgbednAgKsQ+M+1e39duneIy7uP/PD6vgvd
cfn5fbN6eni5OLu/2L38+Lj9cfZ2PbjHruPIze/VCuQc+ds55ebL8l6RX5vo+vv7dPaipYOnu2Qe
v0VLoKQEODbus3Qf768R1nef7x/vz17fY/74yP+ec3d2714vb7aXz3fb0N3euFfbm5vt7uLmZudd
rHabm+3m5uZ0+dPq9HR19nx7sfNOb0+9p9sL7/b27PLaO/04u704vfbPzj6OXL+xRHP/kxkdvCdz
z+0RO7/SkpBX98+fzx+vT0/Ony+fzx4fN5u7s/PH0F3tbnarzeludXNzeXO5vlwu8fT69vrsdnVx
eqTc8Quo8t21KJ+fZYn8TdUiWcCzfF2mDc/y9fXu/Sp070qe5uzevN/FPMvYjfljufx78373zuO9
G5fZ/MDffKjcq6fI/Xh5uvh4e3q5jtzTl2tm19PVB7Pr+vbj/uOtdEP+ub/+uEcr2X283u2eXt7O
Pm4j9/rtyPPVPmdih893L5rGbIEE3eCe/PW5f3LuL/9du+5qu15vPNdzVx4/uCf+if/9xNzrrxwO
vFc8QmN7zOJgxCLg1zS8fvs4e73Mud9Xsh735oJnVbi7p9P7l6uXiyNvcllV371I9r3fF4UY9DC1
J25aMk9q8yGWn8P0KsbMWFSdW8r339/qr074/nCUnGljISBKiWnvGRup3GVhmgT+XNXn8bDrWu0k
t0Ev6h+1la8GLX0mmY8lbVX0N3r/gKoivzuV5pcp/TGMd2F3F2rxkfKz+jnd//cLoA5q0AQlLztQ
xUyzuZCxXFlm891rye53E7uvr1cvu6uXp6uLt1vZvX87tpz3ipaHg+49ijlqapuwamnzSjBtHixi
glQ5G6db2wEJS3RY2GeKOIKCObhVTAMX4Bslp+VIO3AXk9QO3xa0Uso6bH1LiWfyjnwIfZj488/v
3/b+WOAFEPw0aS+hnUU9e29uNf0gmlKENoVfqz9vh0nD0mRQbxpQTv/I6guLr2UokvWFP6Aig7u3
t5exFstOn9h+Vov51pjxGPDQpUWHguzmx/e3tVz273N4GWsRyEZGBO0cgoXPS8aiINHpjWX5EACM
S6c1ghUBZHZkUn41Ckgz6BiI/y9SXJ9H6aHkR0sJ33fgvW6CAfwvVvNHEaj7h/9yM4hiwVNHIc+E
if95mMqItZSan+Wr7WiuI13THoY5CzWvMKzglLKpWrllAH+uTm3DpyLi/EwKAybxP3+m6E+A1EHG
hNLJ3t1aXVTrgNotP5Fm04+cXoU5Ox8jmhw8U3or9LEJ78BG0rDfi3RaI2pIozrNp5MVb2CNqm45
VNHmH94LaApsqpD6temW28rewg6HpB8i08LdtJZl+qHIwUWRE/rfj3KwuBiFJg3aMpSBqFTuhUvU
ttsEPvnoF4PinEa14kCE0yJfoU975OWoyxV/mvF7Y+2tLge6WI5EMxCxJnFRmLnJbYtcVJx0XbBN
rHaVSflDaQtw9ZYXztUJ82xFp2WtjN2JYg4nVjaujHF+0Uzdx9NsnWhA7mHM/hiTf7oRLJe6dOsh
a4HK2N/fZFLsZFC5VCTOyrWwtUfNjoAHJM0xcY3DycRIOq9aY+k4B6iIVNh5ppUakHUtN8/pGcs7
yaBn/v1r3g9aUWBi8dNAoTdCnrFvvVBi/dGMtT76sd1bK5P+4DobevXCnGYEb+zI2H4/3sG7xk+L
HAdgEsUiQLz7ZKxYSDJnRzP9b+rObLluHMuiv9I/wA7OwyvJO2iyZEm2Jb0wPHKeCRDk1/eiqzrS
unL5hvutIysiI7IyjUsQBA7OOXvt2Lge7pxb8bG5GZ6Cb/Y7hR7003BVfFzu1nfQ637kd8Flshvi
c7W0nzzJX5fb6U/YZv6XQH1Gk6RVMz+h/Wg96Pferf0OQfAhvbTeA7qa73y0yR/0u2IJ+4vxaN1a
j/aZzfd01k9/wcmuKDPLzsi2LXHaFwjLm+OAMM105su29/Z/nvDTZbT1+dLLQj84uWIyuSfflkYO
RJ/GaY4NWWuh4a/Dw5A2+tOZUX4zzCY6ZVNipbLTn8xp2lmJAQFvie2svvB7NJmLNJ58entggciw
GYxIKy+BuFtgcNRkk8n64NV9lHWJGUKXDz3/ygn6p3XeCwf1RXZVDfMRRklcazdmi6YDkZwfaKFV
fA6yBZzBl2l+Noxn5dTI2S+MZTms+jeTF6hrnzyroq942nmzisr8Wzt1L5yge2coz7lE/ea56dt2
gU8bG87MP9km28IOgI3wuFDdgy8AFOyXtq52Z2b3ZH/kHRJTUSdiP6bd9NTRAmQDGmRzmWN7qWkh
HOR7r2rVGfHub55kKybwDGw4W7bh9Veh3IXkuj1iqDRhwxeQUg3JlJ2rRf5uFOYLuD+ql63n/fUo
bjA7NIYUc1zSPXtNHy10okX4Z3aZ06vWNmGb1hQHQ4qP5qlbgTUzcNbLOVZlSZcOMteHwCqmG9Wv
4tCmuYXUR5lnuvhPrzo/B/UosLK9bVWdk486Seu2qiuWghz99tIbhs99Aw0HVYuGg87YB2VorFkZ
k7D7O0gb59D2vKQcEZtugerPTfeXHc1BVd7UZcOsOlYZT4OGI+nsmse/X4bsJTacMgIpLjKv353l
Lzl9UJqMsajx9oVTiUuDU/cM6fHEd+1fD0NnGnprgMC0zpzMo1a1ksJiPccFTYthU3VO1C9meoeK
2L+ke8UPM0wr96PbmPwrlrEb53Z8DlR1RNmID8oy419V1Y/d7O1y+1xP5s/w6tfTY5tr13WJz4nQ
6cjY9vZf5jo1hSoFp2VsgO4wo2Qami+OMrpbXOq2vahM7jG7b44r91Mu1hhWvx9V7WC36VYIcMkQ
N395D+IXIcShC4ZAmyrvG4akXYAvMQRJ6VnY1KcsLyRQyPaVmM99vtvcnzw8hXxuQChBKJr8hG79
8vCZEcwinabNKCqlsOK3rXpf2At1AL1NxnOux9vZ9Ho09iH6awEKkAR9Y9HhdH7aGbYUscx9Sg+o
WzGyA10jXZgnSdfk16ulHzNl3lPhOee6+OZRDX1rt8eUir9tn9Xr9zwNyeALvQBGUzdYWXg4t7rR
4MkKf+6sGozdnz+u05CAo5niLV1RFhclBj05QHWjAg6z6F2Md+UtaIOnzqJwlHjLSzX2+pmI+81W
RX/0z8ouRAM2yJ/69V9eowaPSA14NCCH9KYdFQ55A5RZXLjTKO9pAsd1pp2rQ1Kk59DPb3bmnyNv
8Q/Ty5d0ckWCKCbkMAZl7AKuCU2tu0bNjVFIl70MwK6btknPRLhvThxGJGD3aC5mh6T///V7zC0I
YLSmsC32mwRoSatwWttzbmInr28r1oMg5lIGAJq/ThnmNZKqCvxHR3dh4aAu8PNqvEcSrayI1r7A
P9BjWZ5zQjxZogy62UDrlLupGmw80NeP1jhd2vhYycVe141f6WItDzUnXAtgLrM+/3l9nkzjNhbc
y612wcmGdvZkLOS/bmKVRh3TZW+8T4ouecxXOif/fhRaIpCqwtLHRfIknErWZcLDCKtMC7fRw2pk
xecB46EzJ/WbeWM90P5DdIGchj3z5NPOVZ+67cq8IUaq/X1tjc0nUwf9thdDP56J9U+vGyQ9aIQE
1Gqwyuj18E8W4LKaSOdlUVMT9bG3gihAJqRJLUTMiH8r+72+5A7C16ZfVvcW5H7zDC4Hq77ewbl9
VxlNS2MyrlTZSz1UwxctLZviu48R4U1bZc28o69zwlcXMIFdQCrz3fFKriZeOGlRBmey2G+WAQ/j
UzviHVFJMk6DnJ5uZniwPIy1FkHUQvEK66JNzkQab74m+lQ5yvguN4yn+SZKXIJeUnat4gAdP9w8
m8o8gKZa86NJ77UXg9PH+bv4l9eESo1TBjk2Ar43TzZpvpxWp6ljUnI9TiLY1ju5as8s8JOeSufn
MFAnidF4Pm74J99RaVColUFaxz1I4rDxs/Td7INdBuix4h7ndw99tZpRmkF0GoXKdpM/qtAwenXw
+jE9rsFifPrLj44nd0lv8j/k4mwkr7eR2odfVxdbEbwiiMoLZ94X2nAOAvN25TAKUSOdtNuhetrC
qtSS13XPKMXg5A9+lmV34KjOSZ9+Nwrbx5bM2PQGW0X31+hMG32tsQa7irHyWq9yoYmDCRjy/7BW
iAhQeRIHIuM/+aTp+HSQTAQVUbYs9r6azdgBunHmlP7ts/AkJJoYCKvb18+yanKBy43xJSCU6kdr
6fNuTDf+1J9f/8mR/HNF+swVb4b8D9fL18Nwbo7atA1Tja32XitKqKf5CsaQ7qcDebnywsvLc3eJ
t1swklybYJXMIh3y+skMrvlEewlnZuz7kFuMEod5Wp00HMOG+vHPz/d2GtlAtm53c+M6s8pfP1/p
wL8wA5XFZFO5GBm0AF0XqDq6+M/jvH0k1gKW8ZhlM4kcLK/HmaEC6mNLIhYvWPepm7kE9CGd2ibM
amcyre9/Hu7ta9vUWjgw4cvHte/0sSpjcEeOa4ZrpXc5sEs4+wXH6gZOdWIfymUujzqv9vC3w267
BbBqaiEku/WT60+xNGCOl0qLXL3p551rjFp/cHqtvaXNE+tUgz2riNO6Hs5kXrcv95fLAMuUgcl2
IxZFC0rc+np61YA2TOmZxk45J1dZ69UXJazbw6qWBTzQ0h+0qtTe9YZVxHrdzGee++2RRIYHo3ck
f1uB6zTrTlfHoKpKAzOm55jNmMGa1fu6NujxoouOhHBn+tI4s6TeLl0Gpbkd0wN0qyhYXj+zL/W2
toFHRYnjazttI53ORaHOjPJ24TIK82samwkPS+r1KEEBzJRMXRKpQa7z9UC7qE0fNK0icVmwsM4c
gW+GI+oCz024yliU7062tVQoYIM+hhz2vOoHURcfK5TkR7OHQ/rntfpm+lgnFlsaCUkKapAGXz+Y
NgoxDFkCg3PKsr2/Uo9JjHI+M31vPsRtFKpcLExCVw6316Okadu3GqZZkZz75t4EovMC/Fg+G7kN
mCgNliaktedcY/2bWWRUTrifV1O+iNNZpCIZWIMw/ahMVHNJ/7ofjtIoAakAc//zNG4P8OrLY/L4
0Fl/3NqQkm3T/Mtt0c35R6uNO3dmesNHvIOUfO+KSssXLIOh491wo/XsAxKrFBIV7YqN+tuAnUvH
lg0iscyfBNz99S+oRnugVoV7oYWgP9Y6q1FhoNfTx7b37b+96GxjgTQnx8Ff/2qK/uVpFw3/79av
nSgrsHQTpYY9uJ2fuy/+5vVh4YYwjqnhuU6XZrHQsKuRR4zqVi/7nWZrQb1LyeoClsYw4lyC8O1w
2xdO0xf2mBQp9ZO0q7IHatacjlEhXHlVYCcVJdASbqFE1rs/r5bfDrUla6j+b9jEk90kLS1MaBas
iWk31ZdYOr39vPQojPe9MLUzF4W3XzjP9ctgJ0vTyLsSH7nFjtJZznuwcLQXN/05h7LfPRKJd+IV
CvN8dtv//8uSYBNezMWUdiRqDzBXMQ3efZp5/rU1+M7feeByQXC4KLIh4xxqcrP/2Wb2y2BrTt+3
KZi/zEocoK6VvtPxO8N4wl3/9kxzyB5wmINWYyyqgK+fa02WsTALhjI8Mb7PVoDbKzq3SzBgSwwr
rT7zGf/mbW0qPRQFJr46UGlfjycCOVh5O9pRm0/eo6z19Bh4dRv/eQH+dhQok2xY5O7eJGhHI+ha
msLtKM/t4rYpKhNnoqL424vwNndk+ynFkxPnev/6WVQ2mW3goTWsvVaBb2yyA3LHZffnZ3kTdWzA
LJ8sD5svbg6nF2H+6HW0G91Ck5Z633iD3Q4GPY08/Ui91GxGeWbyfrPUN204lRmSyuTeTzaKDgcZ
jWIC/RlYHTSRvo6eTatEr38nrU5h9M+P9/boxLGDrAj6TUSCZLBeT2IuKw8qG6M5ygoit8A5LWzk
HNykc1fEA4JZOevpmYQM1/rtKV6daD4dPWgp6bslkHzD55wgmJtracITbvvpsTOSfj5OVj5d085j
gWLrnL6FxT9qz1bTVje6C7kwSpbO39XaWnj7MmgGD3u+Kb8H6LNsnrOGotmssNdIDI4/R8JK6wfY
dr21+SyrESEG4M89IeqE+VBvZw8Jn4JDD/7UXvlYEYC49FPon53r0mAvNGV+MHtnfK6nAqanQcO8
jMTUmvvUWxM6aSbb/mrzH9+UqLv8GOIWcuFqQ1THdtqBiywFGMA9lOflsZbSuBiyrcOidVLcTwBX
fw+0wLhoaiuZINckxbWDpQL5QysJ0igbneKWVpa6idJ+ro6DNpcpFGjd/dLaJLNCIUgVh9NYttdj
N/R9mOW95u2XwTN76EZF+twneidiB8Qe4kqsUa4WwOjV5ZwIn0yYlD6yjKVoP5WZpHEdBpR45LJb
Pgtc5iv4i9SzwhQo3b1ou2KJy4XjPiTIy59whR3XkAxii7fSqsZvqQHEOXTmsXwM/MpaLppm8j/h
W9S8p6PJLsM61+xHMKn5JzVWU34lOhe2fSE9GM39SPECWloZhKbR1fAUk0lJaK29dueMa/GUGkRw
2C62vtj17uhTCiiQ+VO0xnwi5GOZb9bRrfuDN6VYorqVNa/hrNIyD+21m4+a2Q3wCTLbmnepm+XP
YAWyZyzhNBc1hjKdC630+Y4F3RZI2hpxTZzPpKGnbW90p1coSPU1vdbSGZ2UVXj+5wLzKjOE74oT
w8TdGmnCmMN5mYCQf8EZAeJBnZf2Jzksw+d5GZ2bKpnwZqOO7l21soNQKaTX35WmmM0N8AlmH/rB
eJ8m2pxGpp1ArDfHpVOwer3ECNsOg4/YW2Tt7+TYQVjK10yLJ24HVO51a0B6VDJYZJU+lD3R1V9K
U1V3wSzbbwJzk09ZJQoV4RuwXKXdUL8YnT1+om6nfcABxP6a4iPohcna+kXkEkf3Ow8m1UWW2wRi
bi7tZWeLxqa4bwlLRYBz9NspWBFfwLY0Hv1pkZC/m2C6G2XeeREBnu/iv9JCT+0yt7qyWEA/Mq2g
NVSlGubX8LiRjLillT5IdvhHicXFk+brEE+DEdF6WC1q7sLK9qc5yjxwwSb+aTADDYT5+5ZaLGRQ
ma1PyPr1eY/ybDwEEA22XtPSa4hURYfZLGjQj5vm/yrlpgwU1+rsb4sn2yLyDOWVRzeQ/Q4EpZNE
A7EbyiDcThEfp0Nwr2XBKi51UmWfyJStzk8T7Zu+rdCZNIWaLuiUaK70BNv6eHGt6X3u+5W9H5Mp
vSjXvkD5DIR2ikBbiHKv0UskL2aTiGK/jmt1M3rS+V65vrp3+wYOBnKlwQwHpmCENTsNemyC2X/U
ej/7qOE/fmvOo8lHuQBHpWmlntxoqnL/ZTUUZNiC7zEEsJEGOyqkrbOvYQ7hF6aUF3Uj9gi73DLZ
qCwPn8pwcpNhwORUNqh8SZTQ7Egcwtw50vki13QewqyAwM4h5HoHMS4SYZehNWpvaKazhqZZq2av
/LK4M5fM39wFHOdRGHJc485aQFepaRDvxrVGcShtqDVRZ3qpHZWlBuvA5qM3orlbqdDOdW/o8Bmn
4crTs/RbPjn+BjrNpmcxjuPdanXp+7ZptBeTJMOP1S3Q9PX4apJdBOcQs3DKcqdXyBaj3E6a73ne
23CO27XKbnudbljqTcvyUNQ13Seou9Ov3ZzXPzqW1hIrgnJ5NJaskaHKUB1CQ5YfzUmMlymkkSos
RlU82v3ofiaA7xHLiXp+R6+B8SNRdXOrFYGjdv6ytJ/nno86FOVofQnqtlNHMDh5B5usrF4yDKFB
IWmBd0gVKYU4t/q2vpzyXHy1EhsJXbdq6gudUUrfB8z3jVO0m/LIrlm1Lt3Ue7emMWCXqIE/00g1
gAe+Fszlwaxz+T4rEu09VVnt86Kv87vtvv2CE73kjKgt42Mj/VpQSM0FlQzov9YesyJyv5mjqILY
a0+tsSoz+9JqavGVYGp6nJVgsbl+Ix/0vLC/Zpm1mbnPm7FRgAf259SVC1tjkXCSOEZtcjQ3Vc62
PGYN9n7CMSLux8nHftWDRr9agV+06jAhgH5vgYuud+0yWk3cqQo5a1kE5d1gj9M3vEtBwKpp/JoN
OAJFouHFsd5YvGE3mNMjB5v7BQq3I9i+DfUxlZBSO0i5w97iJGoiL3XqH5oa3JegKiu5T8tukCFC
yw65v6XJF6PMrTVSGmZ2fFeYztDvUF2XHrK7MPNmYwoXRKzMjjePcPLqsvxQrj77TTDBEKMmbNvg
xHt2vshEbvuxypSHVDbhl4bOmpTZ3qmU4pUOK9LNOVt6XHpU16zxQjBr7lfcZbLQ91ZbhmtpMGqQ
SzPb26gX54j93fmY+KuzHF1NiAdTo3UQ95dssxmnn2+llb9FfpvMSWqFVj/KF8vveYrBz9r20C+1
N0a2VEHLpmv7n2Cu+CyDNAuGWDSSB7DpkcWQJpf4z9jEIzh59oH4oGAxfxupCw9I+3zDYlrGQEVB
MftfK2B+n3qw3Ve2XIoXsm7DrTam61cI0N1XLTPSISLnAj2RjvfEOHDuFzd9oyXguSFSa+GwZNm7
xM4JgUxT5AsoMpkHezN3Cx2xQFc+llRo9VgOWucQCcxlEWp2q30RaAC/dJPRingsByA+eq98Np3K
/gRMh1BonKpkObilnFmHY5rQQFmVKgvpCjMSP84J+AqedpZT/tUMStsLAyw4tX0p27Z9Drh/5bHG
+dLGOh23D7ljpUG4OmnGf5QZWIFaOXN/AF+Tfp99ZIH7YvW1da+Jun4i7ETRxAWhWg8jkLutxYiy
3bWXtBjjKIlPSRz0236IRDHDk8GyO6yzTX/4WkhHF3tqjBVeIlYnqjCriwUpTV5rxaUku2zHCvq0
tul269ojMTFWziVJ0pGHrgq9uBJjCo2c5r65yESUa6IL7rGZMrSdPU+N96T6On30SjXMEanhoUzj
thvcFIPMQFs/+trQu7cT9cT1YrNXrS69pqLrtMwF0UWUYydYXYGgbrWdEO2UHZTUl/J9ZmXyMi20
ZYpTS9f0S0msbV46uHFM3+yMIFOGxqCVVVSTFax2oq0FIC0Y+sthFn5OvyEFwCDZaXquA2+Sncwv
7RKVyjPORV2ijhSRevSptpUswSXNPvV4PRgLgR/biS0eKuIbcaVkttjvrYlzEosWWnuGHX+2VeyX
NsVqaq0BjEezI/3gOLNF2PcWIU8SzdQfi4cWLW/9wZ/Ncim4fOtl+skTvtLDyct9/aloFO6IfCei
yjk8Ha4M/JsOLtZ2DyywqbNJ50pAf1JYdvWUkXNrCiNyzRJcBkFajckYh4EDHobj8jDU7NOPRs+L
u8bjKnMvvXwc5KFop0SPlz735AfDKNf1zgaiZXQXgMY72v9mevJzyPCNl8nvfpI0IixyaCn73tJq
ncbwKdM+euaYV7c9rcyYsQ+pcNbY7ZxEv+QybAV7KdIxf5k66t81MRHXFiPybGgGkbOkw8d2tutl
lwqaDx791ELPXzWJpR2yAcj4TS6Dzu5DhX8BuwEAuqdRGHxa0smMcg93eCDSc53tQjZObGlWp1IG
5vXlF10nNMKpwMPgNjSILsZ3nd5INlcEHlW/l20t1ys01L77I9CDBTskVVjmZ7dpBv+mdetJ3nd+
5ViHacirLWoce9zRoJxsx/9cV8unxZhkM4WeJ5Lhtl4h46Fs1Ip2AOieDVz5AJ5M3/TSLwnVJkr9
ZCSc7F1b0CcYNa1VXbQylwARC83B0EAaIzSADLZ6tc+zrCyugzHLR4QthSfvDF21CO5dWzx7EinD
rTVQFAitYdDFN4QcTrPzHSk/qcJki/a92e5j2x9wDEjB299TADOanYUpD0YEC+3Hu14v5uYg+sww
09AGOG+GoNUGfQ8AUHlTiG2mn+2KIek7Qrp+ld6PpPUAyCgYDM5egnP9kCiZz1FDVL/sxQTQ7L7G
icqKJ3NV2hUJdyQWWA/rdRhodqFogiyk+TjxEpv9TCBpxElSNPoXUO22e0Q3P1sT0qTJaw9rr9rq
/TL6xhAuzjjVN2XhJ/nN2id0Dy26ieXXpM1r90CdQvXPQrOc8sqRXTF9mO22KdywzLi/hVXWD8Yh
oEktv0gFNgZhbs2Wtp/mofuROGp8Mrx1bcNEG4R34S5OCkgoNZ3iKNM5xX8iAziQwiceIrDxc3WV
ahiJRXmXomIT5LzBJlfYBAW14BpFJk0z7saGolRomIo7a+fnGDDpzZy4sXCJjvgnPOJFNbV8rdWS
5pz0QQG+iHJJkQ8bMkN+UUvZBHclPYbJl3w1muyy4GbpX41y8ctPCjMObBcKfWmuM2s0HVwsFmd9
p9kmnmA1/Ahun0E1iGZHTGtXkZ3RI3rsdMX6H2c4CXdZ7XjAifCxsDxiuzWtPzoi07qXtejVd5wV
HKc5Ngnj3PsY3OGbmpMV39VGrV96/rCycRED+csHAQWg/7GkuoV3LXZxo3GH5V79EYB+6+2U0JM7
u2u4q+eiSXaiK9BtMGHFj5RPKtgVcBKsfdaobsCfdRJ5zKP7V5Ve+NNVMOhc3yv4VJeJApoclsoR
164zOHwKY+M3u97JUtwf9Mb8Mc0GbV0kGDgZxrLrvzp4CXARGz11V8DJWvh6KkhMrVsmDhm7Ns32
/Hl02ZnYhDxxxW3XwypU9QGPnmzd1fie1ZHf92MS2s5kXy9F2lq7FuLAeBg3vVPIBaQSh1Hj46Eh
Br+N3QDh78c6FAe5AH87CLfDBF4YfhV2QSZeOJvBbmB2nIy7hUyKFqqyKK+8Jh/yWORBOe9yGIQ7
o5f6FwvfGvPYFtt3Pug9Tim4hwX5nuorgAUkW4+8EbIIhA3J/ZRV5OsyZzYHDDUW+dWdDfeb8tIG
ooVU63031XjU8av7G2+AfBVhsud8mgCgOFyXaf7rVY2dxJSb+ec+IU2773Op/AN3yqZ7N2h656Zh
risdcyzc5b553kh37eZk6BaR5jrlZ2etnWszSGa8uZQI9J2jF/KBDEmPa2JhDA+VjzdlXJtrrqLZ
6MTHVbMqWnwxgRPxTAPd8wDDMI3c2R7MaMnLEXa21ek/egzh7B3WiY2KQIFO67EA5KRCbSi677y4
yguXRWsxPaFR+MV38BqOqBnNMkR0XzwZUM+7yDMnDs8Ur4oX6K2lte+wEk0gWkjteW7WAmOusi0N
LFYdYRq7xUqJQgouiSIax8YwQqmkwRSr0SaD3bTdF88q2hoKS5LtAqHq7yMmR9xhW/EE8Vt4UY7/
CD8YX8GaTzyzPqDjmzerHJKh8djALyMWdPNHPR+SLJwm2F2RucgfWUOCJ1q6cu0OQZHa3/ASbrKo
Yu3cWomig9ElMiZ76U/wKkhGiqsF16VvmlNgwzYHnng0ZhrLVAmrJcJzRPeOldADILWi7oxLs5qz
Jg7mtMWErPTgecBsewKKBOZDNAT9MAj1tSGKt5d2lw2BfE780ti4KgHxhp3T5eyD/xHYpl3haWx1
IUA1aGapZZA7Y2OZuADXQfusTGNoIzvROooneZVyP7MmHFNLWB1rPMwam62hiGpDvmPfZJ+dHZKZ
wzIPEQKoHOPYFV9NJXr2c5nYQc2uXmhchaDL3xEMEc1WfqLWkOBw/N7nipHtFpJalPuc2zTFDXRk
TJORlheYHml+6NZ54e4GmGg/tFqYTuT4hfOkymCjsNSi52Mvxazh/GqQIO57OWTvJMi2Eusvmcw3
uV9V7D61X2GhNHQmcVfZddfEin0WZbWEEFjo4/rJhv2T7r1lEBJoR89HUk6iF3GKhAx/xkV531OR
zFlEEwHoucChlnplDwPStjxtx8/LOipyjbIz8miyp4yoYrLGKSwprs3IYWYMiDIyLWRkHLt66PRq
qd9pWuaXOzML8hcWY7VEPkeuAZgmSQ5W1hXiQvbupO18Ev0NGwcxBP2pRmrGXtvV6WEO2m7dJYmf
DHsx2tiiUlRsnDidVDeGhdU3GUecJ9mKmoCUhVADSEDDa413wVCbOqSoabBDpO6VigWltGanabgO
xV4wuVbYljZWKlrS2OBnW835LvIJOnOdkaiKAz9N7+fJVA9BXV+ShupxSBpaehr7HJc3SNlDhQ+l
cBYz1qVRD7vODOQSm6IdktjsbZnEfrm6+k46S/6jlr2fRzgqWdlFhZwvdWNuK1I94Fc7ikjS5kfa
aLS8d4nPDSai5VH/7tdJxT2fcPEKJ0Q1HqwVZ6nQ4/ZlxJNlyvtJeNYHPo9higaqxNd4ARpOWGuV
eIeslTyGVpeSAhfeOq1TdGlszDmfD1mvD1iOmyZrwdefE9RReCO1CykhDL3KLhqDoqoOuaH4rxWM
F2oia0Em3Gg9BxxQluta7FcJqV2yJdrDUNR5yuHe6l+NJHf9UCMzk12s81SpQ77pmUNTNt2tasgC
3FD01QU3BrGAOwBafYUVY79e1TMBecTlV2+OQLLqNFqaza8v9Uf/g7/5cUWwvrifrnQjTuk9hY2s
vhu4bbzLPaL/2LM1MkXJ0n7tNM9Oo3rqqx9B36+P2A8va4jbM7BEwvHqOi8lxCpD2ZvU3smeyOgh
bC7F0By9xHdyDjQmmZzSMt4qIVYrZM8nQNJVVl4NWLgEu9p3CXsd5V2yc65PvYNyLlzTDqk0MR6G
YaRUteOkLJFh9RkMJK60ecj+1fv3VySc2+578zAN379PYOtOWXWvaHf/j/l2NGD9gW/3mdzV5+bb
f12M29/GV4g7/sv/ReJ4/02ZDTAr3dzoEH9yb/6NuHONDYmDUQ3NPbSTm1sn7L+ROBsZb7PsANWP
DohWIYsC3r+ZOFyF/pveAoSMW/usj3Td/BsmzonaSAOCT0MJQ5x07Qy5qBJZl9WREPBWZWsf4qqc
Y2iWk5ycButFH0vtA0JC9YRHVckXjTSRw9ONlkQtkVYtwUFfMTiTemJ8LAewvr/M592/qpG/cnNO
WBb//LKTpi+KFLocfbs8VlZWX5n20l2TQumjgnr3Db57SaQPgYMdGPayhlwwLbfWD5Ic2N7U077C
8s3B/guRfaxjL7ZPzLyPLSKeg9f6alfRCXB/5pduZdp/yqn//NKTXkC9FS7ssLI8isTwI9qRBizj
O8g3Xpl91Ss7u3Jt1e4kqjesU8m+ocEY23Oc5f80+kk3AY7SSQDCnC7H3nT2LnWvWMPZfOf3sNaG
bKqPY9tVUTbPXdwZs7xyCWvP9LK9bo3658lPqv9tg+8ZoqzyuDYpbLjOlfl7GsHGC41m08jB7Owe
ZASF4ckjKfDn6X5dov9nzJPGGhlAENQMszjisFfv51q4Yes31U2b6N/+PMLPVtXfvdCThhAfxH7N
DRWFlZFmV2T9sx0c/vaxdvP5iOs3+QCb8ylIFz3yuro51quc9n66viurOQ4cTcWBTfdXUI5fmt61
921ucu5oRnLmpZ+IKv6ZhJP+BA11ICWhuTiaJfXEZsyLnQtAf8/VIjhaq95ccpkoL9MgqDGEdbNH
Wu/wLjc4Plqhc8Al6RguQ+UdLJK0l/psmO+I8NWV1XfLhT4GuMD13hjWapnO9B38p/d20uRQj3M+
VT636ZWKTUS9po9xwZaHpvMe/vzefir93r4391ScI7IyrWxQ+ccKA2+oyxYphcbXjk7VqSsJVjA0
UScetBGr5JVj9QKdC8W52qDQrYTxnlB5Ic7PnNu2hFSnZbL8NDWpfUy7TBy9YpmIl7j7JBQUDhbX
q51SrTyQhiP4Iye3IyiNettUO2Bf5h4hRUOiXvQXqgOL2Dk88lYrubJT0nk0DXQxFg/fR6SMN2Yq
fHJBg/VXIJr/XSAwP163lBSkQQo6nlpyF6setV3uURsFQqN3yzlp/c8G/N9N98kO3Q8ekLVFMd1e
Me7zqqduwF6Noat416X1pzkZnonYkaxYXg/+xlrOvGhj+xB/N/LJjttR0PDswW6PZQ57OiT3absU
mQ0bLihJWm4fXkOWoPJcUoALPVCiM7DSDCYKNr2rHP24TsZ0jiv/H3/OyRbcKbL9a+sw2V1tXc9r
KSuq53l9XBYH47vGvmz8tCJJY1kANdt5pxklft5jj0kqJeYzG+MJa/qfd36yG8sGXU+tG+0xDdIc
awew+iXFwWhIkw89yb443/Cgiz6BlJx7f7cOCPJ8n4v9n7+/191a/4x/sjPTT2VrQF+roz8DKDGA
lcZpW/VXje4jcDDdcw51v99JcN97vbaRPvNlSb86Yt5QY5Dquhz2AX4CRv/45yd53Zj1z5OcbK9D
FUDU74LyyF21iBO6p+Ki1ALeoEGCyCqMXWGe1R/R3PgflvPp1qgK0Vie3xxp5COj5Ng4JPeAqi7d
/2HvPJYjR7Iu/Spjsx6UQToAs5lZAAhBTSaZcgMjU0BLh0M9/XzBru5mxl/BsK7lb7Orzq5KBJTj
+r3nfMdZNX8rnbmWdOoE/R3Vl+VVmeheHg0qnhWbNL8cQm8Q86Zg+CouGOzf5AK10pgNsQjL0Stu
5rIXzMTyRf/umEP83FWxoSKdLdfXYpHqa6qPScQ4pdk69Gb7kDWwSAPHYTENpsHFwLHUqV/sRJy5
97qn+jxkLG6QCuihTwkOEAGpSPyw4tJUG1II/IuSnjX1R2Zo66asYjZiOikuc0SbKd3hWYdTnFmW
ukcXxCRhcmv3LkFxsARMR/KrzFdQe2dyU52glqb2ebH7ApyxVs2bwXeb6nrp5uSrQ12B/oAMj9vR
r42NI2ZUQOhTmB22Vk/oGZkXuQh9lCtik7Z1srXmJhl2ZtqIJ0vlDQKjull/aXGufZ/yjBZ/rHnO
vltq66HzgL/SsNTs6z4X/tMiEQpuDBulCQdd6jhKxsq0g7JR/RcApZMGJZjTO0AO1p59GoKg6wXT
tKUxnJJwbvfKKi9LfdXKoJ4zA8Kw6MgAMUyVo2ay5icrq4q7Qo7tBeOPYeckJiDjw8zEPcDxWy8Y
yxbsB/6bKdvLRWZaVJv+YbCYjc5uLWrji9BHqPJTy7yF7qIo7gTdUu0yHRz5sxFO+WvKW/+q71zI
c2sr6w1FQrMhwW4k6yXrhy7s6iEe8Vowcg+NfvaeKm/lLmMZKD/UVV0zXm9Nj1SijAxPbQVSiATA
LsjTsnxcUy5NiS8TudRAfVd6oxu7LQj7S81Eq/YYkKwvOflBe8sr+o95nefPRiHE98rWmCqrpFnq
j92gk0rijKu2JWFuHiLGJXPyIDKr7kKj1ei1MAWh4DSJFvlAzkD1KTEPlukVtIC+Z+gH2d0yBn2L
nKK2L7pRmhcFaUJqm009Le0KagK1TZNdS2fxGd9rY4EOp83onQhSS1HZpLp6sBFRz0Gt9G4KvUya
j8rWzCTKBphvgbHUtNlbR0SVnxqB6H3/inxmFQHJjTcGpOchYPDEvj9n9xTQGFy/+ovTAXshbqdG
YDcPj13r1HVAMIOWb/VXpZRnpzt7nlTHsMIfHpDd1UaoYo+HvRySX05atwN9+OmAucZjvekbYgQC
V63dHiVjtZ1l1+Z302CIxyGd1ZdeJ9B6g1aB55BHJ4nQmPK1xgeTP8g0fU06Fv5Lw7vWIffp3cdY
tfUvjZSH717CoDBKEZX97MhTRX/ZKTrSI0PVj6QTAbUB6O6/DKM8DDKRkfxsEjv/SNO8zIMEQraK
SnuebbrX9mIEnaHqZ6RA6lYxWvi80N/YmoybngRiGpKkEVJcDF4Tt5vY0WLCaVPzlhbMJplbGNSt
UtkvTOTtJq88ByWh014m9A+fBqNKDhOcqnt2eZwKBvh63+3NpiKBdUoPjr7Gs76OrzbSGt3nVOnp
RTfEPVzw3OjavTeXDcOuJZ/3aAddNK7KWF8Kv2+HPdrwZd2QW6Rdx3KdZMCiUH2IUQixag7tV91w
l+pSb2P9JlNkl3YqHVxGsG7zySZlbobws3jXRrcWw6bou63t0YzhOY+zW6Pj9eVGdnunm2YRTOQ1
q9AvmNYZpYtMpcpKFophyfbjQnZMQCSm/9Np9CzeVOWkf68SUNMBG0qnuKiZNbx0lKz11kPFYASt
a9D+FXCabxa/IeGjFL2Y6Em2edAzy97FbQJLbKIn/VX3h+p5RF3CJE6aFnPKqkPfJIrioPeg7Ruz
hrNmhlnnM3/R09S59meb9/D97+2JL7p7VK12k6Uc1fYUUMNCelRtJRdlLJagWa1z6ZiHIugvSkb3
qFidkS9UHVkXe5DR/W4aFmuf5Muyf/8EjhiX/6oYjnEo2YoMnslXvZ/B32yMuoCsz9QeBEEC2qdo
5GPplNN2Ne0Gia5vh3NsiUvVU7v4TcYEziCJ0AOfEOQ2euiUr+CWYWv2qR1dY6eZQxXNqFv3OVOF
g3qOryyh7Zed7clbvc/tv1lDHhvb53yixz+s5T6HmnINQl8GZG5mUY4+b8sQAsxMwgB+zn150VEn
7cq4m6+NdjwXLvi7z/HfF/KoiHVTp68KWqV7Z8n1u3y04xsEqPkXhMIr8qFKRlliJXtN4TTI1+Rc
nrN5ouQ79ussLoKZVNnZPs7z7kduTQO6ERLCDeRn7bWC+4BKnUlFF4xdNX0cHFs+D9TTNMzUMuo7
0RZoAVdfun7grnPFmG7KiAmw0VcFbjx2n9iaQsvH4TwiQJJl8qQhE2XnmZaNvxHpKL5qSK6vyslt
+AYju2EBsekFv/+EnrquR0VzbbfoXDxKEIYlJlVPeuhktOWwUfMknWDu0ABg0GsTO6j1uP6Ryrz5
z2CK/76nR+X0ioeGsceKzaUW1VeRzMsGrMEc5YjSznhrTuw9joGE/Zy5fefJnMrNZHCgVbuqNihk
tezHTKDNmYt4Yp06xpzhOci0pGuLPSNN+zoh4wL2PeX3JCgy379Pp3Zxx2iYGg2yVloQCCxnTbf9
lNphiVCSErwx3Mjl8xPOTr7c1zUqWfL8/IvJW/MdWo3455mfcNiw/cVa6R1tr91WG/yRFgpv2dBc
tDFQOdOv03ujGLIHRlvEWRxCE2sDKdTBVHWTd5XzsHZFFy7E/e3buDznPTvxWh7jh+o+yXgwh2Kv
UTYHXqmT2qA7qBfKRguNqsk3rr+Mf69pcowooV3jFihZmr3yLCZhIvHCxkJ3h8ao+fD+tT31BB3t
kYeFQdbcW4cuGMGiHQwTip0ClthknKMbnfjSeUdvekua44gpoqHtheLGymSDDmQwzrAfTr1oR++y
x6h2rVxR77sOmBfAxaeGEfeVLKclmBYSS9+/TieWq2MYB+4nEsMNowZrxSRWH/SJuaJ2k7TLel1p
Dt2ehddbKIcSZ0TL+P5RjyDl/16pDj/njeuwnqvZSGXd7KtY7z6h++OEBHYJGWilvX7JLKEz+dXz
hE3vlGCA78u4sQK3qNY+jDutuB7KXi5BzKD8FzE3zaeGgB08yQJFLUrDEet6/bqh1hbW4rUmDf3K
wma1WxAd37fVPH5x5ywuyOqs9QvTpJkeoXRO48CKKTd3OrFc6Du0zmcH4S39g8HU/RC21g+MsOFW
PWSxKj7VyI8PysmuWc/ckFPdvmOntaprbnzHIk4zwtouhSgeysLVaI/TGy0MgV/MY8as2e0vpew+
EoxvH9+/LeZfzxmEOLottEKQ9neDtstgpl/KloggvfHWrwsA9JuWx2TjWATvhBrVA3WtmRAeC+iz
DrBHOS/6wNwoGGgPJZE1Zf5tvcSxFfXOovaZM1VbjYbL3qoyg+w6qraXQvfQFGcpshOlMxrWzIqB
UsdmsI8ye5lJGJnahRQx4Q+790/xxDonjipgf5iYZpVFvo8b/voSycu2lcN6bZWAB/KsyL90aZmc
eYdPXc7Dj3jzlAtjstrGa7N9Ya4/LRwzpEZJdoc5qbSjsZPeVH6zE5xU75/bqU+aOPqe6CLH4uYx
oqpVem14Sj3gJQZCdsj9cc2sRWOR+tvSL57j1dW+EImkY/0b5vv3j39izRWHP39zuoURl2TX5cXe
ljwjeimqyFBrRqZSmZ0ZyJw6xFHV2jNy8eaxTveM4tRFnJl6OKAUvOJY5+IoTz0hR1+O1auLCjFv
gkOzsoJk6sYNS3Bx3fZIlecOZ1Bn2Nr3v3fJjr4hNYlrNEa8ZM/WXIYeINELuA9+OM26u3n/ECc+
JMee3tSt55X8nmJf0c+7N1YkTF5t4d4bCkDsw3ju6TsEyPxVNXMc6OEPnTNreED2Rizqq7xdrFCK
BgIOqUzbWrO0G+XJ4lLq6s5gXb13RYWG22jaT6o2jecGkTNFuvGzZgcX1I3R4PrSn5Ipr/djILS4
3aOtlUGaFJ/XLBPbdSgxsFR6HU6aNgeLSnCd9cMubQ6RYm3lbEZPd2krjcXdYjjfcxY3GgjZwOZO
8/djg59Ed9MOrwL15SzS6qHm9m5ifBcbN5+Kq0LJHjGeKaJVxN8IQO22Llv86P0bc+p1PYTuvX1f
iBpvUDKYbLK8lm5KjhgmWIZehAL2Y0Qgm4cw3dQPdth4OyLD+YooXIVWVer793/CiWf9mCXSjKLy
V8tI9rJyk2+mu9aPq9mVoYmWKhy1gq4Hiqjx5/tHeyW8/EW9e8yBdLtRa4YF3S7sQv3GFbLZWHG9
7lvZ9xfTbKa7QciDQkmake2OFTHotFwrE+0foqM4ZLr/0U81n+jOog/VQT1uTzMRfpW9fhOMWg4j
wpwobvSxdDlwOi1Nc+Y1OnWpjtZWf4Rt5GYq2bvzLDeEmutoAOvlFhHq5yErsoe1pH/0/oU6+WQc
lr83K+mCNTqvWiLAzYpWh20tcqeXw/Lijst4laHivxxFIa/SMk0fp6JqyEbLJbo1Ek/f/wUnattj
2hMgvwxJ2cDZDoSmLRlBZgjA9L9Z4zhHa2wn0XiaCcUAWkC649is98069Rt35Svs4+G8anGkb8xq
zUmR7VwcFbo4s4M9XMO/egiPllzdWLN2bKkSdadE0qBA/elFnkVYvvoz53diyX3lAby5ffT0cOYv
Wrp3l8X8YgGSvSEA7rv01noMaU2da+cZpx7Ko4GWt9TIiYSb7gsX8Ufnz8sDdvDqauqHITKb2Nwh
Tta3U0lm4JrP2UNtKm2TiYyKWrSQnQSjk0DO2rIZE9e6XDCGRNIV8d+71sd4PKI3rWHx+FyXfZ0/
xCbddmM1SyZSjvHp/Sf1xO18/Rq9udbZ4jWqHVW2J0nX3xHRSdQ7YNE7W9nnsnxPfNgOCahv30Y5
lfrsWhmHkLm8dCcDHY5W4OZzKn+HzdIMi8RQG0Zy7ZlK7tRJHS02REJ2MDmHbM/tG0Ixm8Uljyw+
RyyTZyqpE+IbACa/nxVhmclolz4NQFdLn+hwV7vR7837su/bcMFxi1WrGR85bnfBkD3dm3PahU7i
rVtiR1Q020axcdzZDldg2JFdCxXSoxmivp/P7U5PvEjH4EPld8PE7C1jdwrrGph7ES65u2wbwRDN
hRq4e/8hOnWco/UoFp2GXZv1G+Md6mMAPFdr45PZSbcSkfXyn+GY/rXttY/WHtDOaMQ6J6M5rogS
H2dcn7GvbfoJi9b7p3Ji5baP+gYNw9bBWBEnjHDrNuvg2zdDV58DxZx6MI8WHLzzZJZWPgkSIhOB
7XnOJjb5QngLU/v3T+DEIY7x4kXXDJYq0S/lNZpxwArurWzXu4OX4czn9dQRDu/5myUDRJry+qXk
JFLfu2sLjBx+06/3I1bGM3fhxAP12vd4cwgtzVaIoX61T7p4+BQDJyGWtDAuhI6yHCnocPH+xTrx
AThOHuCn97MqrHyPzvJRyPY2yaVAxK0BCmhxbQvbO3NGpy7a4c/fnNEq+LBMRIXu7ZpxiwmyM8jd
DgeanvpnDnFKn2Ed7e6GxISkgndzn+fo+CZtji/1OdNAp9RQ0CdJYuxhImbSvdlkBd6y3rDNy574
nk3pemfr8lM3z/r9VL3UoS1Qs41Om649GFy8QYaGYxjf4q7BqQuZo78YzVj5CDjUcyUb45ujZNuE
o7Kt7wNUjku/cGqcHew5kMYBawi9xKA/9f5dt058kY5z5xotc9jeo9m1VBcU+ao/LrZCGpHPW7Mv
+s0w081GeoioVzReKGEGhYzp1dZP1BTYpeNESLeW26zkNmLdqRmmu91nlRjebnBMLK9VPG/QXq5R
RZLyJk+g/agiveoned2NuDwbSWixspNAZxh7PS6J+CxSb9xViVVsVUKwDh/73ThofmRniXk76zIy
+nNrxKnzP1rkyrbLzdbgQUFeYV7kxsw+xc/R3ero+4FR/wIazd697/0ze7UTB3zd0bx5+vM4F1JB
+d7hppB4VY3v9lTKO7+meVgl8E8hWrbBWCj/zOf5xOt2HLHRa+5cp4cDmo7WPhTIin6xrIsLt8y+
v/8QnWo0vmpe35zTpNsyBSzr7+ASof4hQilqqrTYisyQLwPIokgOI2TjSvb7TFYiGuAFvpw5+InP
1DFiUUdzIjSK1t1oTE8JxN5wGQG5tiQxh2aij5E5OvBrEixcpqWVFwegyNXUTcQ720UdWbIEaaCP
z+//nBO395iSPa9mW7XjJHY6FJHATEax7dda3voZKARkEGUY65naJrUhzhzxxBpzTO9lFjkUGOjR
BUJA/mQii42sak4uMYvBj+vW+e89R687hzc32WgmQKzm5O5wlNabtDTLG91QY9SaWfHw/sUDF8nC
+BdbKuuoKkDFnBYeHN79tPo6ZgDV4BbuKh1CGBuUFeqMSnaOVwofbIhW3RiQeBQzQ0YLG8vJsojW
Cmo4IBxswXDh90bgzi3V5pSvddATkHjJ3H8MeReII0oSOrU1606oJeX0DWs8YIKx0eLdANnqwsR9
ieiI8c8PWF/9FJCe0d87nTbe0Uy3HktMg/eqE86PFHuZQV7lWGKel5m4mVDAYGQepMKJaZnxXeVr
ThONgGc+JKg6xihpRaO2WvIdgUbdhNUSm7f1YJBRR0uC8adJ+DymfWhy/jp0CQAWWuTuovOgZygX
5o2RFdgwF88t92qdESRorrYCnl+Mwt3EEp4hniSv+gmkKI1m19HcKJst+bUf9ezZGzxExlrX+4xC
wW6Cu9TW+JkbOn9q9OrDINLp0lmQdkjDv2sTeGPeikU1sPtUwYFbhMZQU7rmdTPVcCRKzNpjEPsS
KRDnl/1QZWlcE8OBTU9YKlYR+rx+K7omfYbFKpFUxFi5QierynRj1bbxxRk685JYgG6Tppj/dqCQ
aeOBm7RyUEBTb2Dpiru9pXE62aSgunqUdel9xZfSwMqvcitkTDf/bPQWBAKq4u5D7uYjKh3PL+OD
vs7/3sWytMLV8ct9An6siXgPsckxpKrAhVhJP90Ovlb+wHzmfCkXOjSBJgoXePJq55+8PINvNplp
8XnKUscNwYyQTqvWyfs4kO+ehxCg2pdcLSzhK+mpDUreZbwwADSoQEfIc8jU6EwwNy5hF+DyBQoJ
BEAlFnpt+rIYRsOLa4zex9Y82DxRXWa7WgJgitxKwkUZ6twJZV+jCMLhigLJnqwcpZXn4LgTyaDs
XQlA+4ndeI18UmVdvmW3DttirSt73hUTHljLGi1zA88JO7CTutnNJHDq08WY9IcJg5obNmLwAui5
6cfEMvgXPAMuQKi3s25djOuKgbwgjqTeNJWPcLSTWv2SDbbowlkN/rfJ9bexx8gtbLHC3Xv+smD2
LUE4jUA2rTDJ7CnkMziuQWaU8noq26XY0vHtvi5jljxLfc222ljmhw5vCtBNSN2/HJnkN2Hnufx0
cmwQhWUHn6tFF/BBuUnr7dn6MHT3+OIBT+lbbiiVjf3iw3j5qMUSoBZvhXuZm8ZMuhofXBmAJ87v
ROOoL7HqxivUDj2rNukWecgg239MMqlhLW6RYqCq8fv8A1OYZlfnmvMdckEb8SxoVaDiaqUPXnTZ
R1gB7o9GOQUFbV7NXBJfymSTDXWDgwAGU7cd/HZNqGjiFlzknAEE0Ur5kDi1ju2VnqATAvWLWa68
Xh1CwCbGhU264qDUFTwUrZvRodLZrD5iF9BsnPip9+IZDV2YQtgdZunpIA2Uju3cgUXF4NIUoyij
3B3iHTrdPt1ofuys245G+21Z4dwMZlaQDEf2arDU4C/HeVVC12eHsWg4yrXWiEoLR82mWb1ha+tx
+4SdDCvEqLvXhTUV3jb1KyhUI0RwOAHuul0yX2fCjKOcppsty2C1TWDPZs7T4OOl3iprmG5GW3pZ
wN/nhSZe7H0fg3a9xEfZ2htOHcVym/blD98fJxVVk6G2kob8V9/udZauYgB4N3RQGS8sG2lmUEmH
M+DxHa/mtUi8AF2gc6frHsA0vx+miwpaSkYgX+Y88NZ3qJdTH2hgxZO8REsCAbNZa9XvEiZcL44z
3nhV9ynRRdZHpB/5VzPMhZ8V/z1PAjrCQBh1dmfDDvkepwk2ojFvAULw7XUuEqwn7tZKWac2/poh
/qh1x31oZ1lk20Y/TATmEkqp6Cg2SRtUY8w2YGCmBvZtIUIkp2aBNWJ0AZ1L/Uu8TGa5H6r4rsss
966yRuMpaxA6rIWeks5strA4VA6GF9aT7GNkn7V9XTLo50Fvp/h+1kvHBpnSGl/dxlfNxpGoHJFx
dncyNkmZy5aPaKUPii0/r5+0YtVyJN2p/FHOQCtDiaa0wQ9RVN9K/+CJb7JiwTUe2/0l3XcYlAaP
bLS0DTTBOfNw/ppDoT4ghp0+pLk/f0saWy47b7AwT4vCwYtcdtm0sC8riS3hk64zGW8SfQ/DtQhG
v6xf5qwfn1aYvretVcJ3T/RkJeihnjqIG1qsjeCD5pgYL7kcfNoNHEjdnQ9YJ3BM1q7FrPk95d39
SmHQA41kyt2i8JUxYucx6dfDlLgAGOvHPuwYqJEXABtphCMmUddIapwADam1Y7Kk4fLPr7Oxb+tg
dkz54X/5Iw8GVYO3g2NUfUYqyE9Ltbr9/H5BdKJ2f/WAvqm51jJuceq73m5dF7ovvrgr5wUFcbye
Ey+dOsLRZlzmlWFpDI92wtM+Drll3efk9qARWvQzjYVT9enRVryr6pKZmc0AIINFOXmyumrmxtji
Cm12BvCoM1vZEw0M42ivHfeWLdt01nZJgUnbVheaMSHlrtIfXdYsF6RqumdER6/t2r+oUl+7Dm9u
iyDMSMfzkO5jhWMTrmVy7/r9eMekSQTrIMXeEgrxr8zrGzxoVtj0iQHcICV9lxfkE7HBv6qpZ13O
huJ6jGfjU15NFh4fa4oAZrkbL0EcAsWNoFUFPBXJudiYZSbuLXgG0LGYtQJUshEE1u7FpIH4gSVe
QQYjPa8zYF8YvlneJauR7Sy3LW5iVzBDVct0PWrAUVNXry6qsmA8XGasHLW9buoprzZ43QnlUihR
qLYH5JpyOdeSOeyo/+qiHf78zUXrkjJHoVhqu07U8sLgW7pp5jKNMDHKyAblSKz7gtEW0OWlzAb9
Q2oYfHSAiJ55QE486ubRkFQVhubPMQ+igx+BBKjUp6hehi0177mJ/+um+i9O8lUO8+YkFV5XMG9r
sSf8y484v2XbJvSayUFIvsc9SuAmXydspt26aeo4+apIL93ls57DtluXy9Kkjou9PtkBRMCUKP34
Jk5UtmVvgj0x8e/BGJcPxdB87x2IOu8vM6emP68S2zc/O22AaqiS0Qec22EzIRAMq7GYtv9wJK+D
CztBfJ+9zrouAbbs/YwphZnpNnt6z7+3DH++RYzLUwjp5BFmEyRC6RtnAjZPrCDm4c/f/DovmVd7
9bmoEDPdB18odAe0DUOiTLB69a69f/8ynFhBXpXib45TJHpVJMJ0d6m/3Pu22ewKiLoBoLYYVAmp
bgn+ifcPdeqUjhbFyhsVfBkz3un9PF4vKNBCSsNpa3o6FjxsJWcunXFiQ/3asnl7TmbSmX1cxbtx
kr4VHdDPd0zGrR6wpN0DnhCdGXlD6RsImKV8Hs2xQggm1M5r2pGdwVIY0ZQ7zq2fM5M5c/onftVx
/p+VJnKwtSnd92Vn7OqMxhTycDN6vbj/EfDiJvtO5mrza/hvCrsgWOjNExc9D8//4ye8o2G5fa5+
/p//+agIveGf3lIuXv+Tf2IurD986PWWS+aAqcNh4A79iblwvD90FwS9b/HI+yZZFf/CXAggFwf2
hUdTz4PQd/gw/km5MP7wcEkiIoWO4biAn/8TxsU/wmD+vY464pAehiXZRhUIOYMAv99f/cQ0e0GK
tIfvLTO8oDVXF9u+CaowKCFAk41jlC0bOD2mhYIu/nMl6vnKAWZqYtcGmr23cyP5RFMJ/o/MZL0G
hV0WZmiwh9piQzv8owlGepM7Q7bNx7TCyjHREqz7Dn5R5Uz5NxDWyFcq9uzWzgMeNga2C2Mniien
ulpIcn62ZwCxgeMvlQrAqaUqKMy+cSOKTMA5bFEPg6EcdxQBZaq9w1+kN2CyqIbByM39rlYHi1GT
ySQPcpN+T0TXdGTCr5HbEZZeb7/AiMVWNzUruAwlIDddJBJkXwBatOwwcNdr8UDtvkJuSJyl2nie
LMm0aXJ/CjxLUObzxXO/Tx5Q7FqbpnULCaiaQyOd/Qc7meNftlLJx9iZ5MfeajgdxGTW514l6Qdz
NmfMYIOqNsoygd+OpDyyiSzi+i6vmYDRkhj76sDWTpH8oIb1LtrEnZ9ppeefEW2Jb1lWt7CL8nQW
oeaLtjvkjWYqan1zJK3JWq3QwGFw46+TeU9BFX+YzNn93CSqPAiaivKp6isy+HSZqSd27nEfETDm
3XYpuQ+hNXj+l6zUx4dyMLs+8pOx2rWtjhqkrkSyTaj5mZY1prrsxzKDWOjXGgxHfIeQ4kka6W5w
eXlrmGFBPSCNEhvAnW31j54huxQ45lg/x7lnymuwt0wpk5JcAyR9vv0rx4CTEopYe1bUca7eJnft
dYjoinRL5ErcWoFae3veQmisHywjPkxUR4gKSJNJTMihxhsHfxcMM89qs586AXNfSpjK+W4herAN
wR5r4KcBe/vsbMtcwbGrG/B5uE6LcLVsgNR6WYt4y3sk4Sz3hoKtK3WI0yvRkO5VisvRA0dq5Olz
bSgtu0yyZv5VefasXUBAStixIimpHpKybemMitJ/WLp+AL9A+FakbK3/Mpeo5C4NG8DhBRD0+HEY
FdHJkT3rRD54No2tFzANIr9azHV8NNpp9D7XtmPRtszYTDH3ovTcd2R8P+JTTYZQEdeBUA//HvDe
sivbD5pAqZ7jcKu9LmRrtU771DGT2zFmfB+QNpLgpJQlVrjayK38ejpQI43GdKHw6ToBgzIZ2L3i
2EdR4LfJOtzHuCkFJAcTD0QOSFZb0T7MMBVFk9pFmMk8r7dDl6MAqJfcUJdj4hCsoGv0wKC91fZM
k8pJkhCF/ngtGzgxYazhV4Xl3+T5xjFbcr5XIS3JDxT6g9Gk3WPu6wWk0sJ2Bsgqs3wSMtFc4GuD
/6OehG1FcLu1Z/x7xZ2f6fkQkJc2a1zM3Hq26Vp+m1qsngGoyenWZYLBPjxO56d29bMq1EGgkygQ
u6sWtEk+alE6N6gxW7Nrv/aWsXYozaX4ijKZ9lnnOMsz7fr4CynOyU80p80v9vPKCtrcWW3aa+2S
bZqBBj+1OUaWQPpueg2Co++vPCsufji6BS42p3K9A+NCT2pORCVuO5sOHLCEFbYQvWfvxalpiYdW
4npwi2VZ5heJZ6mHzhcIRP0cAmdIk76rUYCl+KuboScGTGMQ+tTO7HU3lW1dFdAw12gc3QI0nmM6
zk6SLEQvKEvcgwnKlRf+6pdEWsB9u3VgVfYvKE5ooCxJatobP/HcAQK5Cyi9I9DgcgLV5dJTbkZt
w+IWZiyBDLbXvv/Gdot/17P7TgsXfdayzeJMN3ibKzvIJV2IGTMg8n+P1k6o5rj9xlhg/KaaGuIx
bA6QgWW3ZC/kooIe1HPHnwPip9NuM3vVWIV+bVptsEC17HZe39P36pu8+2zKpvk5inr9US+afoc4
+LDm5JCDo6U0bZ58SLU5jtMSV4EaMykDn1Z0HRQGuclBmUnjlzM5jBZA6jOAjbldDwNO5W/wfpcN
ov7L0q290O8KuplpXi3baZkF8GtEf082SeRZoKSwH03+wnGvz9h1ENs36iVTwsSpDW7/JZsG2hyx
nZp56Gf0HwDUH5yMq6hiDQZ6512YY2zYAaju4tM4uA56UszjSUS/wr2JqzTBbN1XBw477GF493ai
dnjkqi8i5vwusOb7uBCWId3hgc1oa2sTFIXBHXPCGMWYPmm49D6PmDmGoKopA0AqMhl+sHOlE1+y
tB+SGmcRbhwjpS00QvIMmqZqF2REh1SU/19MssjXv1eG7JVPo9Pun/vnRD0v/+U/+Wcxaf9hOofS
zyZvUgBkZbfzZzEpzD8Ewkp8IJR0YH4OG+Z/MtMM/w+TAEIqSvvP//Nf1SRaqT+ELixCcSkoCZRF
lPd//zecuuRnQxWwJDCTjv73WzLZ7zt/hGmQ14jhJFnRcIRH8OHv1SRlmGdOIik2VlI+1jAcAsHL
xyQxcf+x9fjtyOePBBKdhEVm66+dozfbLnsshAE4utggp1xuW6U790BmbDoejL7e3IM/T/LcoSxd
N03BFXSoGX4/KaKE1WAOnBSK9/sUx3GoGc6Hro/PdLt+36r+4+JZFipy9g/C5Rr+fhwf/JNsCj/f
FLMpS1rXvKa1mRpXyAsx2uaI6d8/sd+34X8e0PEEmxPHd4le/v2AI/MpctDAlzp1X975jfcNMkh/
o3mWvS1SX4O8Ks9FfBpElPHX/nvLwWE929e5Z56rG94/tj1vuw1xJTvNl1a6AU7k3mtw6n7W7RIj
E0J9ajGbfBzndrpdDm06a5Dtno1JeTnj+r6NXeVEDnFZkdMW1WffyOQ2Z6Z4Obq6uF8BxYZ2BWEk
XVR/4VOY7GHhu485I7WgMchFk1KWcbhW9FeCqqEL0I6ld/n/2DuTJsmNLTv/F60fngFwBxxYaINA
zFPO0waWVVmFeZ7x6/UFRcrY1d2krN+mZSYuyEUmMyIQDrjfe8/5jg0r9T1DI7oG1OxmcL6Ksl01
adX5+kBxT3rNZLwFEM0YgKbqHbBfvo1AmEivHVvtCvHW+R7ogfyQfHUxZmdczXmTYlvq+m4mcyHv
PlWZfUXpkKwoFi9DqyC6ACldYZ11UfyKLuF6kHTELJFOAUOUIxsa3CAD5TMeU+3VkJFzsRTJukYO
Ws22+xqIKQjrl4JD6Taem/iajo7pZZUd7yWD552l5596WZs7Usxu/JyhDV90uzQ+G3p1jxV1DIyH
CaCPl8/zd50JF6fF0SEFyBr7rSZBbHgZEWHkevQMx9wYPMIq44BytRK97pirTBnyE5f4D6gtpyiz
SC9CfJP67HDNG8P69IHz7PikosrYO6Qk+abGSY7DuPnNXgRysZiY+LYIY+EvQaydJjN0YPXplteM
Tv89hPXvBVFgPN1yKOhKlYEVr+YuT052iepryLNg3zAHWZsLTragcdtDhKzpmmRNeAcaNNgbCjAS
sTQCFmGuawxT8iwjwnC2Ninab5tm4BSs4swcDhXQjsc5t2py5YkJNrw2ytWhS6zoPTSEbXiLQxW8
DJmNiD+dNjicxMFVovg0w5ZSoOwS8ztbNue3NG/73RigCya1p7E9QiCcnRHH5H0wOJrXVIKGL/Ny
2OplfI1btdCfWvqvGwXxkE8uWjHdHhEgCtEYD50OcbTX9faYBKGNMpGLu1hSbOJ2AS2sg/QYSErh
7FWZCWPIrKvfansI9/aQCMbMlJK9q0XKFz0ysWyArzLk8eKLeRjBzxjWS0cc1x3jLbQBIYlIBGAF
r063gIg2E4A2ErQ7jf70xUIN5Hh1nX3MGlK+ulQVPWznR2cUHPKLWL0ZpW34lt3NT7Gbhw/FYNkn
e5Duc0ArYPRC29ly8AsPLhS0M3oOBwx2YOjPYon0ay+q4GIYsQPQgazYxyiwdJ+JU/AVx2F0nawi
WS2zSo9uPKX3EBXbNyo61YGlqepsTVh50ZL5IquITC43T3ZdMevlZiyGTvdJflk6Mpmjm3W5SVtR
bxkg1jWsE3vK7wfdTCgze7JJvwo3G7ONGIY+2BZL7RTbwML46glXlOU5ojrepQIu73OaCmEQfJXp
Xy1nVHLudNIL1mFs6BWjdEA0Z7YUrvcSTqlDUGAnPxby3Tp/otOiNhjY+s7XAgDUB5t4shaNgXOn
Q6hUCdHFW06rVGQN2IzRX1yQOLsCoFP+yWS0f4qHUqa+xVlMrS1pyjPgMhIJaCDn4wHee1AeCpzg
rxzi5LA1bDF95gOxth6NSAuegtlO33ud5guzt1a8jD3n3EMKav9nXrXzozHnkXhK0oBJCUU+CRwK
QHu0bzQthdWucgiCUQJTyOdEkD0g9oE1HAfPWHWbrY72iwmK1FZB250snJzMfkt44q1Cz9E1uKRI
91s1rqoo6sdDSKupRmKyMnCivoghbpCoJ8lPGc3Lilw64KW1C7OT5TTxi5WjPIlDaUsteWioH1bo
+fSj1ts8L7gee23QfgAGGU611Kq7juYWLseeKq+0AOdrOLNZ/I8py6skMWUMMQrovN6W6DXWXuQ+
tX17BUWyC4rcIfGF/LdNXrfbKrQPpppq3yn6wiNO3bjCYX3pb9doibbsQFBGyQvrxqMdafu8Usds
yl7GsX6zyjreTsH83aqNTwFwnlyzrdEMJ8Ounh09Gp7Zh7b1bO90O8z2doPUj+Ft7/UjoJvAHCE0
h/0evvwWPj+NKXt5SWduG0BKt6Jg+czi5lSm6Zldctu5zU/UrttSyKuUlZ9n1WNZZ/eFIAfe1eV2
tMU2ppP20fNs8PLo1mlQqBaRgXhp0crLUAQ/Izk+AcC6KoNF4hb3lQnHUJFoU0YuOYqUVYTSke5G
atYmbNt7p2IdDctO6TWWp3obzDVNtiT6PukIyvoZyP6PvkJSUFuuHy3ZC7Vp52UWVs00owxJgS9h
RIaqVJwsa3qPbbUT0iJ6alqJkuduaqwzONTkW342A+94MU5ROl8xex+aqK09hGqcN6uF36g3bTPi
DlTXrh0BdOn2JSxN9n3Rny3pmI9SNWsL5149TE95OKYr4iPKc+0EO1phrCMz30Gf2cwVOCyVze8g
mCpkNURVjt1aQnv3TIM1HJSauRoZTNE81OS2n+rSDyfSF2YaEStjZPxUOoCklAWlzCXFw8kIWlLm
tkQi7SVzc6dFFK2GMzirSsjm2kOUE4PEohJMojxlC9RqIOYZkTnkESG685M6Il2Gnl1scTTU0+Js
N1q4TbNic3Px6otztNroMyvTr0Lo9UMkw/WsoKRJ0zwktIqGm+YWcxFAdec416G4JlpS4GrFbckL
8OETAkKCGW+e0Deq05qNNjmvczD/kMQ40fKw+1VPTgaP0z5bLS2BCnZnqHtTJdWFfkvuZ0hQYcQ3
l4pgAG9yNSzOXeXu3dJ6o/rmkrXz0VVJsLEzfU9MmL4Nq657GJo+2JRlDVNZC3ZEUYyfpjZF51ot
6sCA9S6Ii92sk98lG3M5p5q1rx2t3MXjsm/gjyDF0z4Ee/2OuePg5Y5xpoK+LybgtQ02eLJsEhh/
uoOqsbowpGzfUO+K1dhkWKxbczsHI0y3NvWJHHlDEtBumomBNzI2fgdB4+RM92RJvpTG+ECD7+iO
LdIXk5QhEhq31WiaF0NpZ0RacM1s2mokVD1Os34xxLAXeXXvipkg5fY0QJKDpWaDfXGjYtzWpXNm
fLSsHR39Rx0ebdnsymm8lrVVbObePEmLDtVs/EzjcadE/VBHwQtt+gdhiQsxmyeyCe9Stx82w9Kv
jXm56QYRX8bz9N3WiYJEaiRTZ+92zY7sIJJ05EnjdsUdglGnTc9lFF6yJE02jhNfysH4JqDvL32M
lipBrwbfwTM058OQ9UM4G/mKwcWV1vFaEdRCr+PatFmKOAQzebRoJ1svnrpF/4YEkCC3bCDBaIr9
G6aEJTtGh1Yg72n44KHjphATJ3qGGXyhaOwxD3Fd2JeWE2Ks05Jwr+M85VlY0rghLEk8qLoDF0bb
3JE9yRwpHdyJkBCvqoAOdVVPmlplPmstUbZIytZ6sygv14d5747SXGmN+aU7fInpTUaqSfr0qfad
5EV9A9LIPkA70nkots9ZKR+LqNfwMA3MkEdQf61puZHXiCa+t5qbGoxxDfB8cyElBOlT7wzfiaQK
VsVQwdcftUM8auuFW5ul4r61WfExNYWv2mR5XCYEW2AZkQMoNifwBvWmGrEzIed+tbph5k+O70iU
znnGfqNs1AMG8iz4C62xkwsgk25qky9zUN/MLtvOrXacm/IzYNS/npDF8phaS5vLm4VZt6ls2ja1
bSybJKJr3zgIuupweGSUwuZS2Xs+Px/FLi7Eef3Ipvbo6OSPDPZNnFgLIOiQtRFdYy+YwDmf9cRV
npW3mkesQ3sk1RGwc0fLG97lrU9ulMXOTtJiWxKOSS6YXiWcWUNo/zV6TVHOP/Klr3yyECNU7f2N
PFkV6DDqeku4glXQaE7gQ7X69IJndzrQ47W+g3Ilk89tLi0cOmQZTf649Pj/l0qDqxsF5ilnfE+d
1dn9i14og34b52Md3PK3goYoMbZ5ZKxzUTqPUAk4AYTUfLd7kVUX0oimx1L+IE1sOWlVbL3Qr3Z/
KuSu2450KIhQOfomImiqlROlnbt2bgiFcMiih8gx7c9Uz6ZdI8UZUFu0GXUnvSAtiH8kPaM1X7it
/aHZrrai5w+zxeBYvSIeOCV9qXb3hRNNuKpbfd6TIUrUdDKZiJNQp5DWRRjIKSLt6AC3g2zMsa79
AjDZXeDYw8YerenSpGX32HWtdRXwV85N6r7DiytWqD3kjyCDwIg7u6O8sUObXF7WaOl25anhKbiV
XXkjJ6T2YzMXyZo4XevSFRotPxI7NkHd1H7FwAV5vTVci1jaLzOZqji9I3DjJGC3ZxvG7bHFkkAa
HAj2+8oNcz/F4bQSQcztBCTxNZ4j88hoyLinOYDIluyb9IwUO37SwpTjb6DrY71KrSDdsGLVd0mC
M0ra0nmdWIU/leqb9ZCM5rfJFdlJT5dqhcKjOkZ5E9P9hQLVe+hRW0ZK4ZgjQOHeP6BuDrdYBdSu
lkFHLEWXrbNY/9G3tdqEkP6Qx0TOUzJN4lq7Rv04Lqbmz+3I8Sw39hHRmWCDna+hMYI1ijZ1aBeX
L3oyGz/Sq3JmILr0D42V37oaKpnqLRrLuvCn2zd1oGdLeDI3WMSpCdcmaY7zfNJzU0jnZ4GqzinX
jsVyuFOROc/9WZd1bIx+zVCRbOW8g9ZP8icUTrGu5xQtUkZkGDi1TGXoRSfNOLcNEP07O3WM147c
POlZzDloHcsyfMjlfEIfxsM1H9s9Qbak7JgQSrdM8hggzZag2IpDsnhGaAzKLtc2756DaCQ2RUCq
pGFk9alyyLCyY6f1oXqQYDLX/RqfwEwgFeKHHhbchpT6cTf0OseTZSC6eIZ9FQm/HKtiw6BH0YJJ
JHxc0fn0CZ2TMKTjyT64q0dOSwY6Xvxa7rQt2fiXFcayGwSXryuthi0fdToQGlptKfkf52ECrRqO
zj6YMTcOXb1OujE8E4n7Lp3lhx1j15w14BSDINMGAK04RFWwlc3y4DCySE2hH8JbpqlbMnSaQoLB
ssWwNhNRKesBruaByIfmXHXOuCUGMzsS6Zjh+GCQqM1CvAUuah3u522oWwAQ9LjYEL7cryENzeiO
5FNgcggmnW7Tx4lLRWEyjqsmN1ohEbaPncn0wLK04dzkqtoEWNj2XWmB9MwDk72SjLwLs2B7dAwi
J0rNVwi4PctavsGaZOUxElzB0rU3s4HZxpvNPl+R3nhvSXlsrNleE6d14v0QODC7pt+wjmqvdMvS
rxx9D55WnbiVJzZM0mS01ODCk7F7barqMsXg0yJb7zahnNxD7Y7G7NHESl5bchGF11bhuAe5/K0q
W9u3sy4Fs28M69ZJy+0013It2xAQqy4Icx/bz3heig0KXQRhsaOROh/G+2hx6mtd9g/MYG1fNeHL
oKNLVfOYrpt6/pi6WnqVPjCwwomx435Xu3CymbzULrv1oG/KnDbEUBjibc6LehPcpFETfQJvdMSF
VufM3DprfarKnGRRQjkt5HYrQXAHRyLGdRvTlF7JiYMoUBZmqKeB1xAC4alQC44Uap/ECP5sgKOQ
mgQRdMmzSzLNzjl2gytOb8qJxhzeSStN9u4cTZlXDuInFkdgiDem6zPoYILC8/C+6vT45GhQetPl
lnqpo2pE9qG/GzyY9wTsND5IXXXmEZ+srNppd5Qx2ZqNoGcgpDLIfbG5nhtlkUFg3azrxvS20F5d
t7Yzn+iD59dkGmcKnaT4pgXBeC9pzSNzIDcKGnSRrivHCPYBH37dMgZc12ZHnjYt/GDfM/E/mDr8
e71BEOhWVkK6WKPVqzDX9Gen7tksNWGv47zoH0m6Fkdq8WpdNlgQQ3LnSXCo6zNxke4ed7SBaWJJ
aGwm4FbRobsVzoncCS6aPRmIm+uXuU+X/RykYjUIxeoUDQp/IruZ9GefJmaFFdsF6w1J+CLFxQgr
/Qrvi5hI5XIqUzXp5mSJIar009lVLwRkgihYzHBLqo92EK6NCh6IJE2I8jmtaLMvQG2CMlKrICkl
h0VNW42BNP15Eo5nWKS0WwQ6ts1yU8MnGHAS3OQkJHEEjbg9PGtgpUgOyq3xkUtgqaIzaDoLJAHc
T3f2NMC5cXJn06f06xMjQovoVPYdEJj8IhtxQcyctd6Cs8hnEA2MvIyfu8x4NsAn0/qMKORLi/Pf
LYs5KBqeEiwJp3F1TwxE/Hb2Sw152INWyRFm2UB5R5Vf7F0SHOVUvavE2SWBuBOz84HZ9htHKYsj
LikS9eh010hOX7Ja5CaRbb4OpKLsaNtvUTgiBCXXAt4uRV6td3ujGa077rnmvJRpd2rY4nd5YrR+
hQB7F9XhtLYrHKNhrDT9Dsp0epjH+GzF86uo508tqXsqtnF+LBa9fZAjDY66C0G9Zk2OtrYzr1Wf
c8yE5Ox4+Awwt8bjsTf7cVNYhfsatPP0CrPsltbqaGdQEWdCbqWnKoanoQNqGXDyoz04L8q1j+gP
sk2GbSdLLXa4JrRBAdfvhT3XvhmM22qYDgraBocGn4buaVbS+ahn9tE00n3qqd2g+seRJKhucvw8
XR7sKqvIK1MbK6EVEuvlGcS3ydkXC6OVdNhV4vh+bFqfBrgPAtwnxGvyEqIsxiLeq8m6qNh9I5fy
mIzWqpImcsbkENZy5yz50yR1Z4MwZoU5cdeXPC/d+L7V+qchqp6bol81pbOjp7qJ4KT2tEPcnCzj
NvazyN6MgfGjY0DQQruc7fau0BbrwzThtSHAzgw2W6jlvllr6zJs1m05L6+JynfLgCk/suDdz+uK
g3qWaUDOuXsL9yiUscmDAYj34OAMmlasjDvHFRvXyl8qCF1R3LzDLsS7QGl8K22W8IAbDMFWBZkX
mg8xy+9Djvsyxc4O7KlqzM4TuukeZtd+DhAjWa65zmTPKlp8BLkA8ioOtHD7FJ1/22R/Q3t1M3h5
Yf6Vi6q+TLnb7kYCr9k1DmhPqrdRiEMOwS4axr2M2NXjYNqHofCjEmu7BFFOc/fUlcWWwpS1GohT
gQmFhsFqitrVwDtNw/K9Sho/TJBquLGfF9Ud09A3pfEYdEI2bd0+5VbxULQ0kFwdHQvQDA/n/4b0
OqYCBl9Gv0qUfZpUu41ssCV9didEhdMqIXwxYm7UORvNTYsTl/LsWsET6c+cMr6L0Ty1cUyofXon
R3mskz712wy5SpDdzQ4ym2Xij9B9pthxzQE/dngKAVdBr88f8TKds5nuFzu66Ex/qfMb/UrHnTGK
+zBCI7O4HzjrMHlgeWXzoD+q7SYzWQuxmDgsJlLoyAl2Kp4XzpkY7iMRG35mcS9r5b4IKPt77jF3
YvDnVSMxTezy91UWnsSQfIxtfzeHRcwIoTuYCamChuU80FifOQZkfhn03dq27DNwQ2x82q2BCVWw
KIfpXqQmbW0EAyi1kjs2/PvM7s4NR8pFT2kgmLTW+PTpgFHMcrsjHsoH+Nq916jhWGUt1joasRC9
tzEcvEoaxynvi1U7Anmk7XQH2uIkwWut7HB8GKz5MSKJWSUmKQTYWgvRjuteNJnXuTxNCZnE/gNv
Y9PF+i6OMCQK1hW17dpOJCH1AVEMaf9eyv6lkTw6tQzFetqSKW/OCi1a86WPPbtL/3OKpj2h5ntZ
uv5UxO9DpO6ZGD2bVnGLbuw/MjEcl9Rx98winiRPrYrZIDNOzCXRt3mYD9GAeS+x72Y32YVOwOOS
YY8Ru5HfBO5GGc3DaNFUMEcXuHw8HWtp7K003wau9ews2lWZnJNLbQnRYsnHPi7aVYDNR4bZeRzy
Hwnszak2t9WkXV07+nRRZK3ou+wDSeF3K+VKPvqolVdqE1/oJCNn0TFwp4fUrh+IAtWJim0PRdVe
2P8+yhgwt204z1kYTdvc7Dg/KfjzTAVXBFtfVZOeGgxLpBsur0ywvTGfjli9rhhNF+qKQD9hhI0f
jZA6XCOW4rKQ0wyftww5aQxm/7jE+VOajNMqIi1inepaOOMbaii7ZGDslYuLwNDT+TQaOmogd7lU
pEbunJb7gvsj27dzrbbhJB2MdqLadbUynufbXJDcGzr0htPNnjI74jcmlD9mX9DwcRpQ2SPH2TcN
DuPConOXY6wL44weqiOOsyUHvAQdvzaa5nYEcuwNg2SGyHV2S0DJosccWu23VJjJXTbXdH1Sd65h
YBKb3sex+TDMsXUnFKHzSHncEHhqqv8YBpdODLaZngdRECerMABqWevRtyyagmYXxETlYWAI+3dt
rAkklmM53pEwUI24HJ2ezYp4B8j38TfAJDD586K5r5ke7srUVI8idpdXW7MApRD3c9Hc2kC0m1Ex
u3G4+O0gdaKcsumO1qF4D7RI/xjpJO9QVKGrsvBC4R/Wg1XCGC4japT8mFx1+SZQ8fhQ882sZ443
66BqOVSZ7GFFG8afbq0w1rRL79tTN62YqgvO4yCn7aRDKdxPYsM4ARVwGbgPuGjh9+stdWPG4SL2
CPkUG4MuCQ/2YTzLwcQMO1s231Fhji9kvk/QMQZ1GKzR+YwAI27QrE1PYdpLz3Gwx48ym571vkPV
iPguREDmlzPyKa8b2QAMV692rVn0B+dGvxjj9iuJog/VWd01pnuwNsa0fupzqfeeLNsBhn9a7uel
Tx8bi8ZqNcY0Zeir+ktjEFBfWsUqZZSiIzTkSmQhQ0kaqJZavhXMBrGwu+64n7Q221Ztx/NHX9RG
OXV1rMum4Abi0VaHui/JRS3puW8m2m4Prr6kx7iztggT7hkNiYcoXzgHg5Nv1zqqHn9yimI9cNp+
ndoJHhFW0bXZdgWoDov93wozGurxTPI5LVTfFLSaBkGzgYBU50zctnYBroukVQ0IGT0LWh876JBd
zXlkZEbg8FE208jeMQa33eQWS40rtr/ErRDg+4zkGEQyuddL9VE3Zr2h/9NuwtTOtpyd3JWmrByT
acnG3gPDvuiDKmNWQMuwKQVeesCv6z66XYp1su3L9msxAjACYd/km1qN/dWp9JxyzcZ73i9mvx1G
d+HQz/GNEl/J7SLbpuNYgIiPyFOksHBshTwHzSQPLWaug0yrDL9kvZCRYEdVOmxystR2PQPQm1w5
CTj7m418QuFnVr41iWXFxJAOQBcu7jXPe1zG1azNnBjR/k8p9vEZNeyb0Rr5Lh3iiBC7EZ9/11nn
mEEdf1OzL1XQKt+Chsw1nXNo3Elpev9YChQ7VW/QSnDNGZWpE+pmwPM6oJQos8B4c6GjR29CKTzU
xL/AkFT2hPf7H11k1EbNKHIdDgisGG9Ao2E21tX6xa5V223/keZpQkAajYoqITzTi2JeazWzxqcV
KM/oJQwIhdn8phX6/1aP390c+6//+T9MiSTrP1fnPSPF/0Wc99v/8Yc4T2DnsCxl40dAK2bZKPB+
F+fh9JAY0JCCoCKTtu4iifpDnCf0f8K4AxSLCYS63PqT1UMT8p/8Pw7o09//qP0vifNINDd0gecD
VKlu/spTRm49SHKuzfWSF/p7m92aU6T2PXUE6f4dTvHf0lnQeN1eywDwwCdWyBFvQsE/yfNmXSfk
sk7FmhCr1k8DO74bTOVsRCr7bU/q0GOalFQITbT8jVrv36nLbq/MaxomakbH+RWV40yCQ7IZi3Ua
0j4vrfzWghB/8yL/Tud4exHB5yPMS1fmr/TmXPadSEteJLacR3hCCAGGc/p3JsdfmKK/X8U/vcwv
Aj1jwHJdubzM2AzxpS8QWIx1oz1VUktjzNxtvy0nRWc3ynhcWVn6ShzJfTT14d9IE3+hjP/xTvBW
3IJ3LVuxtv/8fY4ZkAFn5PscV0jM/XZVnrUVY8GVtTX4N9z5cWOsTI/W9KrznXvqylX+jYHWgdH5
/u/AZv/hd4zU9I93c/v5n1YXYInYJsRHrAeC6inmrZN2i1T60839fyH7VDq3KrJIly8Yxa3zizNK
ynkcA0Lo1iSAWBvNzLJLxW4I8pZ4x79+qV8/D95gg+BiBLyWYxm68cvVlaINOVknQP0R/3l1avKN
dt3fSWbFb8kQf1Ze8jpKUdmzZi0Ea7+Ggeo9rC32qoXUpSkhzV6bo4VQqH5uPRlFQbGVQx9F2yoW
8pugAFlIVQtE9YFQkERbT+lONyCr1ANOi+MI9n9yogAAfwDh4j4d6pqkFAZq8koOaBri9amYUzXM
tpm+ydaw2KRM1R6bLGZmSaWZccwrwPTc9yJBQCPnWaeRmgxpht0hM51zPnNl9oSgW6sUj/nFuVVb
rnXCwhVSHdZ6HHugj9XNUDQZ6LzUIH2Eg/OzGjvkIs1AGhD4S63LdvHt39sqjVt3FzVTlTxCBq5o
64w1Ok6nrqnoqBPdl6DugwApWh+6aF4Mi3ncbA1INrRYS77nxSLRCYwgHpa8Q6kfZZWeruHwALnT
8kp7cQzHLn10BZPfhEWbbDsp4wYJlRO2mwXKiLnS8wYOmaZKOAdJxBmgMnKDHL7WYW4VBeJtiojK
wcsed/spz/J+Fy6ads4WVaZMhDvnS5ZTZVxhRNADIMOzM0EcB8g3o8yIGcz0unaOpeHUW3gAtH9G
O3O+XD2h6blV7uQcQ8IWXN9VcxtsNOHUOqrjLvsUiaDH3OTDMm+KeELfk9IwIPe+wcHH+KjQbmJu
485szDjwbHt27mpIEndMRtV9Q2rdN4t7pFxleJke3CEiRnYks83y4hTnFfo3exl8QZL7z2gSkCws
C1wKnTuMgsQ2RuNTClMFQLg9LqBGIuXA5DPqxvCGysy+s3/S3x2NoX6PZdHlqzYyI6Q7mkO0KUHj
3zWmC5dQMj/yuGFxlkTku6l1pcKQo3gXZu/SLQgC68UEXmkE5v0ztZv5TOc/+B6GVXvHuRvEzRhP
YbMyVT9cx7kqXtH38YANqzC8xkIQZ6iK1Llv0eIvnihwiaEO0IbHiUHU19hWcUWPe5xKRrpaQxii
rUWvSz0FiZ/rbUmUPZF7kSeNJrugTOtSCnanI1BpiBG4ge25NwlFxK4o5vEiQjEx7B3i/rExEQL7
oam3zw5ogX3T23gCzUzZoYc7y2Jf0EmEiucc35UWD/r9HOU9eI2kqZC44kCPvGXRcBClLPQrOXMg
BetMaZixMho3EpxHj6vTEF/KkIN+LN1cP2sM1D7MSuAjZpk5Vyj7BQOtrhsxmKlM/7BdMmIg58Sq
wqtUyQc3GLgvgwobFMNJ+7NbZiYrLtacmwzESK5FUM3PLCkE0WFk4GIJ53HiLksqRHE8KC9JaHCZ
EhoADy3PEIMuEl8DRfN804AxeDoHVi4zDH6ie5sHJ2dSN3eWH7NiHvICrThKsSb/UcCGgTeYiJR1
OyMU4eKAlQcmUpv2TtZJfrQMSU6JI5PMIvuBm5uRcVWnFLiFyFHLwKVi+jK2+YpWNVMNEpvryDeW
Oe1XZlSVH2KEyssqtYY7glLkBFHBqX/ouoYM2BYmqtFZM6aT1QPLP8Vp3bVeFlGqbVSslnTT1qEr
1yOsAX1d24FF1tSA6crD1WhN96RBgWmJ+3JmLpRXdQAqurWcQ9DiHfMWq26AglE5yK1c6mY5GbCZ
XqicenO1kMXyGLVSp83WCj1aBSQ0ofo0SGle46xrlvPN2na3aJFpEt1oZCTxFu0V+UtSrS0DZTld
C+a/t+ayRecEgFOy0wkdGVd01iaxk6h/+cJ0wo390JZVu1p49rGa6dk8DnWCViWNNZouhV7o9tam
b8ZjsLE1DTOeMQ1b0w0R5chOBOMqnEtso2NoRh3mrp7QTNB67ECtqsCfzYzidMT0sP82DHDVuE5j
va9pxTjjk0wt5c1tlI0PdlPFNLACyxRH6NXRyIRyntDyD1Hm7ArJ+MkXy2TdTebYVKtKTcJaR3pK
HbgUMYIKo+TNb3KrNLWj0ZtW4+VE1Cw+eCDtnBhN9cwBM5RrJxqGCyZuzV4DgM+cNY4HVJakKrr6
OoPfyaDh1tRbUQ2DWLJ1gEUnC38M0snQymhiEjWbrasyMbsnm4b66LNxildrqie1Y0YyuZg1Ay6Y
VhCysolMQAYrhgXB6HF/WeWKO6dfYDdFwbCn5SS0NdoooXtIFonGNdwuOfNYTVyaXQh75GziucSw
+WioCgaeOwTWI1Ivibo4MAsOjdhRfRIHXdsDSWpZ/Akza5KT4wzjz6pNFaL5PCFElGjPgloa5mK3
VXEj20NmuJGkNs9vIyo+2y0aV5mvVOkZHD/Tfus6DB4nLdLakicZqKubWU2cakHaJlMg1aWbBgn0
x/+7JevvdfYNH7D+jR5w3/9o5ocfbZ91/8dgdfvpXRkX3VP5X/ulP5xa//Ef+r3SfZoruAXfy77o
bu/gV4vaDVD7b2rg397Rb2/3r/5A9gkTof/iL2uG/k+65/yj86cyMmb/+IEl/snpj3+U/dt/bj/n
pf50bf6zT//XH+x/X8a//p2/eu8/fvtGbh2AWwX2r334W8mOi86F2nCz1LkuZcOfr4HNzymfOOb/
fg2gKP33ugYQJf61ayD/F3dXs9zGcYRfZW+Oq2JZuyAI8uIqEuKPRIKiCYiu+DYAxsCYwC68P6TB
VKpyyUPknJMPueWYG98kT5KvdzEUenYJgNgu0aYOKoGEemZ6enp6+ufrN7R0f3cfS1teeit4sw8Y
ODS2hfuB/hTelt/T9tMjr97+774BujmgPPZ2ijUS8CpjQvMNigj3mnAQ5eJBrqDf1/6TM6MeD3yc
//3W7i5V/rG1779pUIUqilML5hSStpEAbPClRz3aRovmYa5BjU6qFO1TX7AqpPz7hfrIvYQNQLI8
+uHyr5JKLUYvVAl9/o5p2FzJLf2SSmyXPrLvJqUvLxa/PNbyj9hSK9dgf3hqdKziwXie/5f5YlUF
kk1bhWqolkuPCc//8yRLd8ajkKyiehJrdIFS4dCSIhaSZqhLuKN/NYPI0smVN0luXbJdhfvXuwSf
Yu1h2l7H/JJpSLElnYsAqa66I31Cbq4eet1UpTqx5HLq1DujLvU2CMRq4h1MdWwGbFsD+Glw8z45
Aiaz0da2VWz6fa0Ya/y3bxv7eGuvpV8lwI+2QPkA8jv++b9fLJf4Cwu89XajAwy7IASbSueRH95o
AB6s+c7v4YAf/ORKQou6mnA5WCx5QxE4CFFmNUgdAcPVX9Icz6SbGC6yPoEJ1pkp8IijmbY0cnUB
WC1cQHWIXkRxOq48YvkdUYv2QZbQAXb4gKNbkxHdKKuec8NHdmQ9fnykk8BnDGgJeOkDZLTuNFqI
c8GjXm+MSzySgErhjIIIRXMnAGYCwlrk326WRsk+P3c2VXCQGeUI4u5eY28HkaUAMSYfflxgsLnL
2WKgQzXBGaq4ClpIOYEtuQ+budkMdhBHkxiuo9G6KErVlDOxhdyW/eZe0ASwCMIETaRtC6yto0bj
WPctJTp5rUYDUQiIAyKDCIr6wVuJgR6vI+9Cp2Mdk9HB7tW9HdxMDXCxAVRooGzsUy87fvxLe/dy
t1RAKs/abcuWH7982MXyh7iERkBAM0nKzYZVO7HpXXSv474yP3PCq87LpoTJUewclRWCsyHVQxWO
Jmqok7Glldt+AozozFU4VTEju0odbjrhceZumoCdehhnoTbLc20IzLWtpv1oyPdsZ5VNuiEPurHx
zlV4w4yTshG1pEY2JIwDHnKiAoJ7Ct+bd0Z/dQ+ullmMxAX7sdIbuJH5/z4cRqF27kefPGhP6tQN
mQHKfOt8whqvS/WDmnHV4Acl6/f5G4dq2tH83lVnwKSqP+HCujyLYs0kA3kn9WkXVmAFbQHBOFP3
6mZcZonAuT5XUWIXn9vw1GatrmB01EBFpSNCbtDalHH2IseER6WlAGE1GZpb7jYAkq8IYTV3z/Su
wM5d6Jma2PnlW9cS2DoCzBvoifc+KVl7PsGZ1d3AS4V0EOfWQ8awAGG4KM1sBvcCk+fVlvCG6rNr
wpGaQW3YaeaGhS8gHb2xMq4vDxk7dpzt75KeAsxcidMBpaHV3cKeMndc7yP5WYBsFt+QWehKByCR
6xP/dN/XFeyg1NC67Lg2OgVeuSWUi4aEqvsIb0V0671Pszibed96R2kUR2m2OJnLwyFh6q3AQhYD
nmWhSlCLhiHtP03VoEAGFrAhurNYpZN5lb7BQ13C9umY4XCivSOVpMtMA/LSSurQIhsZbQuudccG
WWIqBNce/1no0OVB4caDH6Dkb8o+e1I2HLWjJmqusEGxmfzv7/9MbujTSTxHvAEzOFX9aKrsrjF9
CHfXboOysuuKfc9Mo/ibc52kTCtSZicaotWn39V4FNxYcU++fWdUNMd7yXjfZ+FQsTgFckpbaKpX
f1B0FRtGYGBP3eAZaabMTEQADj6jtZv3cg4OamvwGuNoB5N+yQlaf68P8NqKY7bDAhdN7mR23loC
5umhRm+yjF8yAuY0OhXDD5NH5U51fK9H0a3zaqaOMnVVBSYP/FOmhsrBh+frQDTyGyFgxnawITDd
d5qcPTd23XSh7wrw+n0MNvCoLRWM1GXuUYJSbM4ExOJqk23f68HYISvA22NTCl23BEyXYxVHusqG
WOlw3/CuPY5VOGCXHLWcqbtvJ6aPYBSCfZYUyZnEQ+gEeXBhoueMroBf5kTHUxVyshJ8QDoD5+6+
wKkAuAPS55hqQI2WZcn2z6pTlASpmDEBaWn16b7Hm9tRDij2EqCbqgmfLTXbriu7H3TsCJgfCFhf
H2A+d9Rc8/QHiRvoXKW3jjRIOK/PTTrOXNPEL8fAn3+3dSfRLTwlXIB3BHh8bqDXU41UYm04n3cE
1Pt59qtGnCCLR1bISKsBdN5+3P7kdQDmDp5YQjndpoBa60ShcrKemgJHBA+0lE9W4rX8RBzWbwk8
6OAcv1NcV0hczagLdBXbvm93cXtxuESiSDZyHKASWXBXeDk79hRyK+tPmE60G/RERFqAcK410TOP
PYkDaqdYV893Z8jds2ToxCHMbz9uv3XdW4UHXTy0lHLCgQSL7/SQXx4BFSvX5sIdID+L7AdLrJiy
gDr+dBODxcy4RCKMHWZ7Hi9SIc/guB5G/NkoEVy9hnE1gNwB5pRpjGBlAsiG9jY0Mi4oPYq5QEu8
arpIaOCXatAS4DYcfdqLfoLxwk6L30Qfxvp7WUQtEVPTCA/z2QP/U8KeO0O70VvGbVQbANNQwLB9
+Aep/6qnWWun4aN2C3UdKKtGG7ed9cO9nGutSOV7hclD8YjUI8+UWOkX3/AQozWncUxuibNwGCu0
zrNnitQwVVfV1fBtxA6ZDpZwkKMddzR1tI1EXOhokCl4Lu2qiQcSafrHsQ4HY+8kM6haWCYuYVse
q8nNk3pAQMucZMjQYrMG5oNdxPa36NOtiHFm0G+nqu5vo6ARRdld5BufwCXqSvKljjNLhSQDzcLs
x+1n+yRMT00uXOOWv0cpCNs4ZJOum/HLXQNU6PEqc0irUuMlHiewXX6KJjcV8WN0yQ5Q1rKP6jWA
ku8hvX+tpL7cvlfl3L9CY6CobAq9rppG7FBKuCIP4T/OeDmcyKOPrtkorLIwJVIG29EgSrw/nWk9
wVvq66ph0OCztt7ObXz47fGEQEQrVFXjSHi72lFkDyOLx0m4vI7Nz8Zygu4eiXS0Y7zokSDyWNWX
v7LMIC7nya4skNvQaF3YQARlVcrDXVng9zz6eaoobTa9jB4LvigN2imvEDAITjKemlQuFsqenXxy
quG9WUhoUdE5eAcv6sT+jEkWkhKsUGxvgZwZFEbC52Ap5aZNQ8D/0h7HSDibqmSxHD6AwMwv9J3X
VpOKp7uEP+PCZJpNWcKbca3CTKUZpyvgTbxQyGRjVCXOLDH4R410KB5ah2vBDrW92F2adKAMDmpl
NqyAa+dSzTKF6qo7eneFTlY6ARnUfg+AMZznBBxZlyouKep1V50lXK5Ufb6GKWrGTzX6FKs/ewfJ
AAErNP7OlU2PTix8j8h0a2fhmNkpqCCsv7pedIM3CeMamtdI0EXs2JIhDRZI1B30MrjTnckKSOYP
2F6T5Aw/zlKkhLKJNwVGKBmZ6PFmB9n+yLYpCVzHyImp0OhNwmlsoWQRSCE+0KOaEgGuhau9m6MO
ANwgjGLvY4acVtiLVYoDg2JkQE+hPfjePop4qaf76hP5cg8fqmd/hQ+dyQgYDkykBXTtAZWmMKJr
NxaVpyONRppPY4iglWWCbHtG1pegi1gkC1ZIVAYc4oJHpZkVZ9JxEsn77bFiwUKJANmVnmX9CUrE
EbZBbbPXpsKi5YlLJFu809NogOcLhlk/noAEokhTxxFHVlnvTlsvhG28sGNeJ9YUuBAfEVVyGI3w
kUfL27CyPH/DZ1dbzbR3reOhZpTX+pvWM+bdzwbZLvxdQijlq9X5erpHo/kstWToGEkUjB39ArM+
gt6bVFib6y+hDWaNNiFOaaXEe+QoHZtoxtW1RLJ/D8f+BGXNnPKegGlzgvoLplzX+zbXc/cEVf7s
GlgfL92AaPnZIZHs0n74T6q94VfvbyPDq+aAym3lensj70yHc8aKCjCb5z86zk3ftQrQNan+bFEj
g37U7HJBcF2Aruk7XJDwRHZQQjRSyYAnJvsS1whyO6OUlwv5IgkjeOTeMavDl3igIIXPISpwY3Rw
kQ7cfEOBI9GBc8WkhldZABGzvpgVlN2cOF/imutE96R/AQdnp5k79iTKIi4MTHxGVeLKyKny+8Jv
Ne0w2yu0wvvzzaFJEu54QIJPfepXD79lIdwnllLOZIks+yu8TNyIjoAZ29XzwVhPJpo5kgOJ/P0F
VlcJty2QSOJHyaJ2UlIDichZl7ATlXeuEfVY3sNAAsSji3xXB1Ah8AWErotYH5M4wEPZyW9/UHoR
f6UFEuk/3Yd/RV4vmj78lvu7LuOHf4cDw7HtAoloQw/H0IGCQN6bAFdUeO8q6ECizPjTqHTAJeom
4Ce4Qc6Zd6wSZhYFEjUIwF41jk0fSCCEHMEPg0w5ZhIEEhfsj6U3SCBRK/CjmfZV/45rjF0BaSt0
aPl8SySKHQJ3oAdjjqX4AeOw/hk56M85KlYLYBhAFaI+RMiihaJe/556OT9sDgD6Ch2xlWinzfVg
wC+3E7sVwJh1N2Z5NXQ3Avl6+UdHlGdngbdX/EoQ0bcKlfPLrrLwXVBm7iPwuJ3AKn/5iY5itEi1
+oJMXQnYoqsscS9uCZCL3sN/cRPOuY5eX8NeJRxfRi6q4FPttuR7tRBf7N5nH+ga4Pbl1fw+pL8K
t/UVrrICNPb1rbIKo/b1rbJAoP+y69pSQwMNxNxzjSdglLYjJIV4Vw5uuojdP0E+7OTWrbmghp2f
VdyWrRwQkNF4frPrSiJ/BjilQ4LatlPMPT7rrar18YILMDgvXWCUJXIjLxHd4HhL/v5aFi9fHdZK
+jIX4WNXhj/EmTuIsz4TMt/u3/auGCSuGtSw5C6TQxX33dxuiRFGmZnw0yEBukizxXHmp0MgiZsC
iodqDDFmpCVAcdtqjrL0qnQiCWyFtiMdEtGTd9EUzhLeJ0XCrWHpVqcLSCC2osGO27dHArEAmdhD
tL3JuF9Rwr9/qvA8tMetUPUN+3H78/0Bcuzsnx8I3NRIHiU3mhv0kUgoocrxhHzlqV1+zg2JHJJL
oCqlERkY3GNJHffqmgFFtuuZSdMi4fJC3xquQSTgPYtRzrMBfx0HEgXkyMkNzVAN88ugF/XRT8Sy
hXYgkMDw6cFpXPCnDblEUU5FUnYggStXMOraAPQLjavgAM8TxAqtUIIXlgi5H1LkNhl71waui0ol
H0icjk/dlSMICDKaESNdntv2EnZyG7YsEMWZSEmEc7uKW0UB9derfZqp3dkRCioRLeDh+EAiVFxI
J0yYdPzw20RP53bGdNDQ6t5+3F7xA+06RR0aRuBgKvCVS6ShFQsobgHvTwW43td21rSIBrK01zr8
X87yL4CD/xBmP4xRgpdZZq4EgE97PnPgPCUy90/Q5AANm2IzY/OVuGDfA8GREZUIcL9PYqVZnMqX
YC7m+gubqwSE0YcodqLxIsg0Z9kdTE82W4lQ3bkG3q+TriIRzf6IJxSbrEQ09Ht0T4sZVYkSy67K
hsY7iJUbyZaopuzOkQS8POVA4om6qIOhOXtHU0NVu9yIlXg8/AC8cbyxQ4bOiy5rdjXb33p/0Wg+
YMnkRqsE6O9F5EHovko8tz4RiEd2sO3nfELYel436w9REodWlOwo7gRvJdQyclb6VaY26qeg7yQe
xgf9zOtkCZPIBXUBHv316qh7dHV99O5vHgkPlV2X5B/xHpRjNZAFsBdQo+md9dmuW9ofVf+N91Om
bwwmqLD+7v8AAAD//w==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Customer Satisfaction Score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Customer Satisfaction Score </a:t>
          </a:r>
        </a:p>
      </cx:txPr>
    </cx:title>
    <cx:plotArea>
      <cx:plotAreaRegion>
        <cx:series layoutId="funnel" uniqueId="{840EC479-4420-4FB8-9776-B6665E531E26}">
          <cx:tx>
            <cx:txData>
              <cx:f>_xlchart.v2.12</cx:f>
              <cx:v>Sum of Score</cx:v>
            </cx:txData>
          </cx:tx>
          <cx:spPr>
            <a:solidFill>
              <a:srgbClr val="002060"/>
            </a:solidFill>
          </cx:spPr>
          <cx:dataLabels>
            <cx:spPr>
              <a:solidFill>
                <a:srgbClr val="002060"/>
              </a:solidFill>
            </cx:spPr>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umDim>
    </cx:data>
  </cx:chartData>
  <cx:chart>
    <cx:title pos="t" align="ctr" overlay="0">
      <cx:tx>
        <cx:txData>
          <cx:v>Sales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Country</a:t>
          </a:r>
        </a:p>
      </cx:txPr>
    </cx:title>
    <cx:plotArea>
      <cx:plotAreaRegion>
        <cx:plotSurface>
          <cx:spPr>
            <a:noFill/>
            <a:ln>
              <a:noFill/>
            </a:ln>
          </cx:spPr>
        </cx:plotSurface>
        <cx:series layoutId="regionMap" uniqueId="{437262A3-087B-46AA-90A6-102B938C746E}">
          <cx:tx>
            <cx:txData>
              <cx:f>_xlchart.v5.16</cx:f>
              <cx:v>Sum of Sales</cx:v>
            </cx:txData>
          </cx:tx>
          <cx:dataLabels>
            <cx:visibility seriesName="0" categoryName="0" value="1"/>
          </cx:dataLabels>
          <cx:dataId val="0"/>
          <cx:layoutPr>
            <cx:geography cultureLanguage="en-US" cultureRegion="IN" attribution="Powered by Bing">
              <cx:geoCache provider="{E9337A44-BEBE-4D9F-B70C-5C5E7DAFC167}">
                <cx:binary>zHxrj924kfZfGcznVx6KdwXJAiudS19tt++eL0K73RZFkaIupETp12/1OJPYyiTOCgH2bQxgTJ9W
HapYT1Wx6mH9+SH+6cE83g8/RWva8U8P8S8/K++7P/3yy/igHu39+MzWD4Mb3Rf/7MHZX9yXL/XD
4y+fh/u5bqtfMErpLw/qfvCP8ef/+jNIqx7djXu497Vr78LjsLx6HIPx47/47A8/+unBhdY/PV6B
pL/8nA/3a21+/umx9bVf3izd419+/u5Pfv7pl62gf/jSnwysy4fP8GySomfktx+Ef/7JuLb6/QNG
nmH09CP4b/88ff71W5/fW3jyxyv5bR33nz8Pj+P401///ftz363677+uR1d8feXCPS0wf/XbG/3y
vUr/68+bX8A7bn7zjda3CvnRR1ul//dQPb15e/+7Bv4Deif0WZZxmskUZb/9iO/Vz+FzLrBk6V/V
T37/8q/q/7fW9Mc78M2jm0345pPtPvz3/wf7UDjj7Kf6P7gN9NmT9lOegXa/NX6Bn2VIypRQ+dX4
+ffa/3dW8sfK//uTG93//YOt6osX//cQOD6E+89u+F0L/wEApOB3MsG5oBvVZ88I5zzL8Ff3g9Lf
v/Sr4f8bK/ljzf/twY3i//b7rd6Pxf+93l8+DuH39/8PKJ0/k6BZnkn61azRVvnsGaJMMszZV68E
n3/r9H+0nD/W/NenNmr/+sutzl8e/xM6/+eh4G+x8HDv74+/BdFvosG//vS3l4O4vnn0X8Xir7q7
/PyXn1Mw479F5icJ3+n1G8f7/SOP96OHKA3BmFOIFBJhTDnKiPz5p/nxt48EecaYpLCvRFLBGYc4
3brBK3gMp8+EzGCvUwjjCFwZPDa68NtnDLaaCcEzIRjJEMfsb4nLS2eWyrV/08Zf//+nNtiXrm79
+JefwS66r3/19HLwRVRQgTKB4PcP968gJ4I/Sv8f7YMrXanMsTLh/Zotn8rw7htF/PuSefa9ZMMq
5GkAySkXua5jvg4y3ycatPLtout18bSPpDkumXiJSPLSpCTZKRvC+reyuyBwWzZlc0QzWW8dw7Eo
F8MP+1YOYelb6WWaitHUsjmm0wk5VlT18BVQX9On/4W62feSnUY6LjJtjmtsp6u1ReFgmiV7vW/d
T+bzjZngcljnVjhz7OZBFDXV64En9P0+4RDLvxUuFiVmymNzDLbhF1Xr72fUyJ16AXR9K3yVY017
gcyRjH1eVutNPVQX+9YNHuJb0ayNUXrkzdFk52y8N/VO5GwwCdvWdRllzXGsRvx8ZG14ILpG8Wu4
+99aCtsAs5STkLoO5hgWcglHlzcNEztFb4Ap+rmfuWnNUcsQr50O6W0pk+e71M02yGRe0DAsoBaF
H/quKnjF9mGebVHJeRmFxrCRus15J01OE2t2Ct8As57GZqRONMe661+UeKouWBfRaZ9ONrhERLpu
TDtzHJbFPKyDrS5HjbPLfdI3wKSGNtFNozmyD2tXkG6nRjaQLCF9WWoNYuexa/Mh7XVB13Qf3tkG
lC2RvBctWEkV9XmoZpzbKe5d+QaZU5P6rq8Hc5xENeYm1mUxy9DvUzfdAFO1plyrGYKDzAw4FFkX
kHwP+5RON9BcrV3nalzNUVS1PVDG23wR3u9c+gabHIdgVwfSO30zhjeuu9plgXSDTIppq9dkMcca
T7e2NDof2u7rcet/6wfpBpicrAplK9VHScmla6y9V46RX/ctfAPMnstxjDPRR8158+vA0djk2Ti0
+3BPN8hcLar7mnJ9LMf6tM6OXixpEs/71r7Bp3FLSCsEisHGuEPJ2uZi4n5njKAbgOqUIt9qWx6G
ocsRnQs8fd637g06oRrTa1V7fRwDHXMW6GdSTvvgQzbYbP2qE6NkfZQdOtjY/apSPe+UvYFmWjLR
r6TXxxRzmtfDeGGF7Q67lEI2yPST8MswwMKbubqyhOnc6OZun+wNOiepWosZLFyDWETat6O1L/eJ
3oCzjURksgXRg/Di0hNxhYYo9qGHbMDZmEXRYQThVumcscNAd656A8s40nGwEM+Oi5kLhcF5c6HT
nWaygeWo3bAgrsBM+oQWo0L0yLPl7T59b1BpyqRrm2D1kWtDzblMs4V9FG523b7sjWzAKYTznfJG
H9XqC5m8VwPZt5t4A81FJCGWBCS7ZLnyVZfmdlzf7FIL3kCzY0qHSazqqO38KUnCTcm6fl+yjDfI
dEiEGBVRx4lE/kqj+JayCt/sW/gGmmXb1zXJQn2sUnXbJh7OPWge90VlqDx8d/DJsE8Qra2C0+Dj
UF3K9mLfoje4HIky/VSB3HJGBcqSQwzNPvPDG2S23sCRMm3UcW6PszZ5JncmVngDS1zRVC+9UUdU
y3ggbfsRDrRqH+bxBpZl18CyPVPH2jftUSZjljs77EuA8AaSbQJ1qjoF4V39MVPdUSm0Lx1MN5BM
UKd1RagC64syH7o0g3JB6vbZdroBJdKIdbME6WXV3QCA7rB3eJ/C0w0o/TBXSUgAlLG6h6Dc5GVo
dm5musGkkXU6B/tkKQa7o6z8u7HK5D7spBtMzlNtMa5AuPAs1+yM3c7UJ92gMjAMZ4cFzGTWvmAZ
mvPAG73PCaYbXKZQmPRqAn1b2aNcW4eLKkvmnXa4wabWMdFLgtURL5PN0Vzpoov1tC9PfqoQf1f/
maYwRQnSHZqfm2Z+7NeE77TDDTZ1OZQTVuAKh0TSPKP02KxjuU/paANPWsl56hVXR95jfYAOpy9S
26t98HyqWX+rFjxUoUILLF0mXbF2L3n3YVd4QBtsDlauvqqEOpI60bmes+lumqXcKX2DzmTGnW6U
A6+yrLkyZV7JfWky2kCzcnM7Nz1I1r0+LMOFWdd9VvLUDfpW1cNSZnOfgWSbOJUr8ikGqGDt0/YG
mUKgxSRPca2Zh/SgFtYWIdrbfcI3wOx6SYxzI0AnZDGf1ukwZXKnD39qQH6rFTUablXSg3B/Uy9n
O+1Le9AGkwJDZ2Zagzp6t9x0xtyu03GPOmS2ASQa5Bpl5mHFJk+rfNwV4GW2QWJL5zCqcYDsQcZL
nvprUqrDvhVvsJj1vpVKTYDFlV/Z+ZYs9fU+yRscmoWgOVIIN73S+pUi49s2tM0u3ySzDRSjHapG
RNhCZ+jrQd52fbnLfUDT7nuji5QIP1AIZHR5U4Vjq3YZnXwiOnxrzKmhyTCMAMOUpg9LuubrSval
rjLboNBnvPLegtnFrgznsln6gsxZtcuByGwDQ1uZZkTxyahdMhxX7MqDDMmuECazDRaJFWRxfQvC
q7a7F7JLbxRbk3Hf2uUGkCbjw6QzEB/6VeaTimdfJWTf2uUGll3lkewd5K+sGfr3a+kCPxERWNyH
ILnBZoVQk+iqg9zB6LsmjbmWy8UucMoNON0klJlGwI+16YUyS1vUttlXXZdyA07X80kM8xM47VnQ
5cUSu13hRsoNOBdNWE0xgJO08qJp1/6MSNSnfTrZILSxjR45AS+7eNwtJ1Gty5gLHeJeY9zAdEB2
gVMafMGQ0PW6MeGz7jF9tW/1G5SGbu0InhH4rfQNE2Oexn29bik3EA2lwTN98ohYZYUi5VjwzKJ9
ABUbgIre1UmMINzM7kLVt2tS78rqpdig00jsoZQJbquR40sjk/TE1SL2hU2xgaZY1hSXbRDHKfPT
TUCovemhl7QvjRAbdHLUVY31Kz/VeqgOw0Tby2Xu2U7pG3g2baohFHl+qqbOnrPBr5elr5adat9A
VIjOx9TX4AnLeSqIqJaj4jruXPsWo4lclzkb+KnJxnAxVGt6inDM3+fQxQagqLRJNrQ9P8nQ2ecZ
q9aDWbTfufYNQltW1ktZVvykmgnljIzmnKj0R+b+ZBv/SACSWwJQC4GuZYnmJ6udfhBrXF/qkay5
63t9Srua73PBWzoQb1T0HRLsJMohvYbojfKyrsp9uOIb0LpF4TgvDt4i4+1dT3ty2Zis2eds+Aa1
CHLGPq4dP/kQwx1L+nhhlIgvd3lgvkFtDTmfYLTlpzlIXujJyw+WhrBT7xvUDnZVsQmGn9oF64uk
UeTl1Ht/t2/tW9Ram3nswXpcg13eosbezpgl+xIZvkFt0iakRwI0Y3WQLu94v94iz5Kdi9/Cdixp
siQgXuLUnfpEpgcrq30kNck3sBXpIiWvwWjmXt31SbQ33STnfSc7vomthkDlUFewq01t6ysysnhR
Ir4z4dgyhBhKbdZW4M8Yjf0b5lr8Rbla7EMT22C1nqq6jxUoJvpgDyUS7iJA1rfPZrYsoQyNRLgn
b2nl4k9xdjwf+Mr3RaktU8iSpbFqLtmpCkGdozT0OEnUXO5CE9tglQJfTw8UIqzXDT6NE/HHkdqd
Bsk2WK1nKMgHlcDaWR8PHs32OnC2j7Qm2QarvOn7UQsLNsMmfAHpmCxWvDT7cmy2gWpcez7KgABM
9RheKFZVh5Wkbl+E3XKGLCUSiE4zPw1z+6pPGL0KLeX7jkxsA9XQNG2H54mfkHefm7HLLonXbp/w
LWWostIotEp2CobxQ0WacFZJso8LCxzl72sPJPT12vDIT0uL1K89NeSsRVfvaskB9/l76Q3VAzGW
8FPqZXK2JRVXyULCvm6L3FKHWpVknaYjhKY+LEUpyZIbEe0+qG7JQyX3i0nbjJ2wtqiw7cILuepy
n5uhG6hOZddpggGqtLHJ6xKIpoe0k5nd54G37CEpAo0TAZMcoLV9rds6FsjGaV82TDdYxSbzNjaA
pr7GPEe2qU+JVPQHFv/kC/8gX93Sh6TGtbNw/+EU1DjmcezH64bF6bJxvdyXTNINYqNQdi07cGU0
xcuHLkXDXWazpf6B9v/JG2ypRDWlAjrz8AZD5trnQ2naAopYYPy96OIPvuPJUP5AS0/XDb6tGqqO
SzAazk6ki/wyU0n1AcL4/LArTm05Re1Utyn8x05chvqiS2txHn26s7RMNvmwFbrGyUTZaV2lPseB
2lM28XJfJCGbGIsrWDiEPXaSVS3gEFiKM/ACzL768pZZZFgT4IAJpqNowo90xPURyNx4H7LIJsYy
hZLe05WdFq7mY9suc0GaPtspfYNbhqTi4won8GSs7IWrhzJfWbfuS7bJJh1WT/dYRG3EaWHgK4Gt
KC+ElPsaYXLLLkp9OdeVhqwPedt9jt3Ir+eqXd7ssvctw8izppzSDrI+TzA+4mTOLgZfi30Z65Zj
NKEeIJ1Atq39tJhDosXw2FUO72MAyi3PKAo+zGwB+eOyYJrLVYhzOdFkp6/BG7zGpGvaVgJegY7h
30s01jercdMP/P1TNvAHnmzLNQIW7VTzJ6scSTNVhYEOXJFlLnthSU0OZTOueYBWZbUPBHgbeaFD
obFoxIlAO/gw0qF77uZU7zvqb1lIcGhbZVtCga4yfZ9jTVWRptDb32emGwDzOPOIOkiSFyAkvIWo
PuTA3KCv90nfAJiBwSw0Qj41onm6hq6iP62D30cPlFsuEnSPhiZWjJ84MGTSooWr/H0BPoiU+/po
W0pSCk13U4HrOfUWr++CLOmXIZM7azhbSlLTknmamIDzyRTj66ml6Qs6VuYHGPgn0XxLSrLY4UYk
ElSPU/9ySpa0ENa4fRFxS0uSiCUqaUdxyvzsystSpu61B0NN9pnllpmUwO2uDmGbndgQsryEC3Cn
ZIF8Z5dZbtlJuqdB0s5lp3HU5Lk1Ft1kYyM+7JO+ibi0YbJVSmYnOcKFuiSI7G01dPO+2ly6AeyI
4EpkGkh2ErTXl92ibF51cdrnbLb0pLZ0a5AJz07l2gD5iRH7oCriHvdpZpMkL3DnIJsCBr3zZHkH
hDBvcw3kzVe7xG8pSlyoJqvFkp2SBvf+wFbDmyIrs2VfAW1LUmKoHaOSrjwt0JK5dY3PcoQGss/k
t0wlRsLscduWJ8PSeO7RXB4c0/6wTzebgOtqljkK94ZPpPFJHixKLjpvsp2aZ98fHeqR1AZuK5dP
5WhzPXtFroCc4vfBdctYsgaurFXNUJ5UB7kxR5Q8922gOzkHaIPXWpWZlWoqT71D6JiQRN/b1vpP
+xS/wetAxqUKuE1O9Qx0Qj5pfGIT9B/3Sd8EWBEzV0LBIjmpzKZvOXHm0M1q/LxP+gava9cQBMlx
cirtEo9BpuV59km6a1vFlsBk22TQY2bKUzUaUyTD0rwUpCEPe9YOFz++N8kluiY+NdlOhhh8q9Kk
fwNHdFPsk76pQ61IWc/DkpymfoofcKyaq1KgdVehSGQbsFKhO9yErjy164pPc6ef16V1u+pEYktn
Ku2c9qOby5NgSXdMl1jmcVVqlxcTW0pTOfG2S5opOdGJdUfg/OvzjId95COxJTbhkoSKrSw5+dZU
62Vvuv41KXm3zweLLbmpsh46pRVJTqloCBA+5rlLCxxqtAtQYktv0oLItKewfos8P0AJuXxPaF3v
BNQGrg0LbRwVuJqwDP21WhZ9Sav4o0PVHyeUECq+BxTEaSwWycALL8FcYrgv967hs/3RifDJtv/x
zAbH+O/Fdx2c1BY3JyepAquKMkR0hltu4dT0qqlz7rhY94F3y3UCCps0lsbktIxizl1FMFwwcuNO
6Rvw1o4jU1cruGQSyRWiFc0HOKPvSv/Elu9UA5cqS2xVnceZzfQKEcbfOiiMDKddjm3LelKZW3yU
qD/7kJYnRth8obtxp3eQ5PtN9gmmzgo3nl1TmUNYpqbNV1evX/YtfhNraWCqTuFy+1lkcTh4xcaD
VY3e59rkJtZqtSS8xjY50wDZpXJmPvea7bvZJbbMp1JlSZkQVp7Z0k4KzvkJf6TTUO0qGIkt9wnB
pQM1Nr66aHCC2kPXQlucN0PcafVbBtQ09s6VEsZkiI6ifMJTuPFdU+2zyi0FaoWhUjVFeLgYg6fJ
oTNVB8NElN13NRoG5Hxvl01oiW2C7C/mhg1FJ2FXW5hXss9wxCY77pnkqGwqdtFpmPoB/IHuriF+
3lU+Fk+jtb4t27smzGCXMbmo++79MrP20Yh5/LgLUWID2EFOera17S4nQs2vLNXd5863PyJv8t/6
dn/g9bcsqCYgvFAcuku1eFJdM6gWlelZeEJYe7NgFZIMLviMGl130gl628xzIs84JUv5OGOCnhp0
rR5qlaPRdUHnKlkTf5tQ0U5tkTQLESfBE6U/9e282FxgFBeSJ4vl+Eq50HS2IGuZoZOuJ9J8SiLp
4F7YSvmcfhRPj0RIIOt+fcXjMpirtsxqeyuU0O0Vq2RXfQxt6EOdd26Mw2vU98F0RbN4T3UOL1FW
nxI8p1WZNwg7/TmZEz+vRcxCrN6Wi5r7Kac0UWB0bhnKFy6lOt5YH1c+FGM6SX9IqW3KV90EQypu
HfRt1+SggTOqX4k+NOmUz7FCURyWbmHDOzMMRp3hzkHbXWYySJZXfrKTO0zIGAvvr8LaX64DzeDS
AEpU/wF3hrTPpUuzvi7mgXJ/47IJ97aY5yjlZ0u7tH8uFOvRB+vNhNFhSm0Npy8Ho2zEULRYVRW8
rJfNEi4nkNn3h7GXNP20GsRUn8+y13VXLCSWyObAWcbC5RmGVHGA0k45dceqnEv3XC+tZ3dDxUaQ
IFmSYJYbhjO2HCsgD7AXemwb/TzD62QuMjibdPBCJXXLyY8pnDtXKWtzp6PtZnyAAO/Ws2ILG2/H
QExv8joBnsHrNWPYm8LDnLqqz1lcq+5CoZQlHy3xy9jmNbAKhcqnaNvooAYS2TznXnbzGA7AZyTD
XMCVvIWQ60WbCcpqKF38mpexFUyfYaqUqcaiX8eEQTOklSWvi5RktLufyDjPb0ONpXrbl6yfBpgM
APNu6oJyHGFYQkIqoi55cIz/Wo/Y6C8eiWTVJyCSr7jNJ57AYwVXk44XOsJbpefFlqNJcg3TEVKU
p62A7z22GdDkABOzC/ILGitFdF7rvoS7ib0MbfIhWX1guhjUStaHFGarJJ8pEsYe4BaF7wulu8we
STf3sb1ul+YJYKL3qj/CfXKXxYNq3ZTFa1o7kg4nDfNEfXtMMuUJKlggqmwPQtZ2fsRQbwivpK2W
ejx450teNKH6yOPgxFGPXvY5GhCY+dCL2j+kI+joc69H3FWgPJsuVy1qrbiBS+wjfiV76HemOZwb
zZ3lvL6a0wa9zHBm6Gc3T64pYMTX+oDXUR8IXQSM/Umr9Q1t0rn6XHFO6LkSmRJrXpGo+vI2Gueb
m9k3C51DEWmZNdWHoMComlu6qgzXVzDNJtammJtsUO9H8A7UHQcdRa0OuOSzuzK6Wqb+AFTISvcH
ahY+v+cJGtfHmAxT95aPWSJ07hUUkVEeCPXrnUpLCMcHA5EhbQszi0avOXiPJPa5Q9Bm7E4T9PEH
fCHQBBOuznDVkY9lbmHqUP8FLod1y5xXMJHFd0Ahh8EsMvd0kXjKRdC6/wgD3YC9cIqQzJmsgAlC
zeTysc1CleVrQnsEal9gxNUHBq40ezXgduYfyZL4CufZZAcKa5unmX4xfiDurlaj7D9EZ11qcxpp
F56XSON4P1eTNjCqbUFdfTYlmwaYQNV3MCkqR0HZOj3NFRdAE2iWgTT4pplSNKW5oW1PpsMgSwI8
AoOTMf0Qw7ygo6ANp19CAocwczm6KnPmJBoo9J9ShMfheT/p0Lq8qeO0nhg0QsRrBZMZ0CfY1jCX
uYyS1TaH0DBnL0PrsQC2lQNOCjwj2jh/0sQNFVizjigd8qRqIw7npu980sNEoY5XL7giSX/Anq3o
EtXUQ7wQfJJVnvRz+XlpzKTuGmHm8MKVPcNn0E1FH4ykNoUbhpLJ6i0E+qCb3MjGVlOuRtvOl7Kn
ax+Bzy5nVOXQH4IeeOHp1OK5EMGE6i3NUucv0IDH+cNoZtomRc9q1cxH42Pv56KbI5ruQg9+5nbU
yjwN5kF1WqSQTjaHyqyZtPnoXHonFPUhb81SY513dI7mfVIGvro7yO21WQ4Dy7jurhfRreI4p2MX
r6HTlzCUY9yO4Qx07ZQueQm1MSNzi9xiPzETac3yNlMzFCdVP9BO50HBRKAGpjNU6oUWYQCXXZaR
3sPwMdPawzppn8453L0ZOp63GGS8H6XIxhe2abRrzwpp1chzm06DRMe0SpP6GrsWjcuLWU4Nbots
XHC13pJ1hb3K+9SbAQgEfkElOjicWG0PLYfNbYu+ezpc534lSXfXeTkC7OBm5oL74zpDka/N/cCq
Vr4w/Vx9LBPHICWIg8fxMYV3X8tcEKynz3SeMyClxTFt59wksfUXFMuZFFWCyrnPYZbgLF+hkAJ1
tcrGespyZhY40n+py3Va+lMHnaPsLXhAhOt8onWWnBDmIfDzwLup0XnbKrx8Wvq1G65L3CzoSvdi
nd+0Zh2nW4oW51Hh+6ZmBHKLFZxAk3eAx1W9jfMIBlLg0Yt0KAgjMI66WCK28R14dZ38GsQicJVr
bIGnUOmMqEedmXZ4M8hAXHWmjiiZFr3hfXbDUC8rXoTgmmks6rRz9cXSxhplh2xK227K+wS806s5
ERO4ZEp72r4kfObhssyi53cratBUwcySmq26wN5X7VgMoBOZJ2lFgOUBKWmYi0ZVDq4ViRQT8zpr
HYTy3DHF/K9JnKfqsdMlHTugA9s5LPkE3Xj9MWs6mBSTJ7PR5H06ZZqovB8cHGDyUoY1cXlUMEMq
PY5r2zWAtwUSQpZPhi76mvFp4K8meOfsdb2y3njYCZz2UITlfd1C+UtykMfXqumuJC2ZfmfWwNoH
gesOLzltSUz73GRDyh9qVkEYyHHNTf2+WqpyqOCubwK5Tx47VvaXdlS6rHNKgFX+bjR9jZq8npBK
QIHcezCtcqlFdWY15LG4qGFspwY/OLEkhXsdMAMmQAY1wLE4r63pykulwggabJaY3kDOQeU7YsA3
nro1fRoj1q4wIu7D4kjTnGKP56HJ6WhJ+dGumRvvYCkMnFwZjB2vZ+RG/JJbKpM8A2ZemgvbBlck
WeNTU2iYvVe+ciWNw2UajcGnlcL+QMI9ueytFyoOcOVxrJaP5SqGJuSLSoj1eaqQo7fJCpi4Q4sG
8lne9dnauLyuODM1uFjjM3j9xVWaQdSYWttCSkJr2hxJNlbicWxgOlqXd4hl8PdWQ4P1glmIUu/X
pRTiKmrp2IcqBX/ysDpQ2F0zeDa9UM6S6XkEYou6AiqUgOt2cHye5ZVvx8F/Sbu1nY4IJpeykE8h
Ve6inIgOH5oOxm68JkBKVK+mOSHB5Q4uKi/vmnps+gvox6o5zSXiwr0bEPRMP69Wpm16JMMU+Zxj
aBLOb5qsx5DQT9Xcscul13MtLmylDVw8rVUSbJ6WXWCPaWg0g/jaVPbdDE4E9AMVuZqBDmJSwi4A
nvv+Oq7WrPcIyHt3Cxy12I0IyQDXm31AL6P7H86+ZMtuHEn2V/q89WMfYiLARb8Fh3vjxqwYJIU2
PEpJwZkECQIk8fXPriq7qxRZldFZ2mkIcQIc7mbm5hZNJ6ye6/i5ruvG9SkqpFncBG3cti8U7lLN
XQsQgh7mBvvwa2km7Mm0FUUs0JVFYoYeSsJ/uGIM4g87HAI2FE9rEIqLIYRRzwkktFqexo4u1W97
PCs8PkJ9u9/Jdeh67LZuX4abMtgbm9CyWofPbEMamWgdyfDU6FJP13NYbezobN22T0Loqm8T1+60
v+g0HydEAcM+Wqix9J0tnGuPplmCYEpcOKjgqdJTSX+03bLaI06+aUsGCOhIgmNRYlWShposXFwT
Xs/cFvHHQQ8dR8xWQmektko/bwMHHom37LEJjJcLmgpshJTsQ2DWBdCzbYuhyZ2YgjZzyi3yISjN
Ri9nV3J50fi169CKsMXdLet868uk94g+T1u8byIdh9mOOG3KwiQ+aoy9CsO1ih7g49e7Ni0G2S1l
roiy/AEwnDCHZnMtIuHK4eR24F6K8KhNr2QeauNKk6FFma85jBqq4RrJp3SXUpUkyntjy/LQMOzQ
y94PUZEL7hsUu7Im03Xh2vBsRmrHur2qe7520IKQtV1O4b5YlVHUu92tg/jKnGzlwbFGFYzVy8Ti
DqMLiRkA0e0mlGLXfQhKJBNR0GjcLNq/ZMJK5cOrYo7a8VsZ9cp8tpJM5I50yKJRwKFFKbortWnn
fDbL7K6jlUb6xItpQcwn1oWnms9ku0YHKRwokqhZePylHWu9HVTt3fDUYhfD1qHxZDrODEXNXeQM
10itVCMrB8SIxv1N1w7U37oIL3roUhtsIW1OYi954DPI+eqhTotglzFcN2kUsOTfAzneAHuin0gw
Nrw8bTgR4d7SjxNUMOCNv/x7//8bXH6iBfaVm6tTt4XTFej18LYdxn+vAQDezr/iP7RfrESe5E9i
rEyyGjI97UoXH/6te3/bJCWFn6eBjetpimpySauu+XTOmN8hun4qsv4J/vO2S6pcyVzue92eurGr
dJPzyMOvkfC5OAlokdC6BjPHMlsiGmDZ7z10jCEMvn/UcYtaqxlLcVtjIS0ATJF6+S3lOp73JODz
znAQKbQfZtz2Cv/AaF4WRzqNsU6aVlOZdB00rjdBLAdzWbqaVFjWBpxY6PfuPSfXM4L4zx7wDbII
sfS+lM22nmKJ8uHg5njZLkxB1tcxXEibtTBReY8L/hcMTfQGZ9ymlgXO7Obk4HsXXHb1GAciYzUJ
xywePWCYRBSeiwxoQqBsWvEY+BkkciQQgMR8uCc4MVaTE7EE82HrCjNfxD2j4jpyRdCmekDHnM35
0gaxBSAwY6zKbU27CAkZBqtYtcAt2Rg930EwuNpbWARUKB5MpabLs75sDDJZtKiq87oJbCvybhsb
mdG52ldETMQdemyjkm5HV85kfeoxm4UESRe5vtqSoitgyIVqFvX7fpyYIABiJl+aKg2LfRozusJ1
KO/LYDPukqstdre9ikr4gbWrWYc6+7klfveRv//b1/ubH/q3Ue9zXVa/z3L5n9/+v5v/HhDzcxLJ
3//8PA3m77+7cz/mxc4//uPmqzb/cbDD958zYt7+zPnK//NDuPDvd3I2jv/lN3+wsP8XJvV/Gz/z
L/7yf+dgf25r+dcO9n8fX/F3A/vzT/xuYB9h8oDgggi0aEaKiTMZ/LuBvYJJPVU0hsMFhZP9z7/6
3cCeiP9EkxvDLIgoJiF87PFT/+1fz/8TxwD+KjpPUCEshJfAfz/eL98Lhv2///4f/et/3ZMCvzAT
QXIWSVjlw4TqDbgNg5O1U9b0hxD476CAA23ySKrtFqjewz+8l//NpYDjRAqdsjSCCSUmLfwapAvD
mA1bUR+kQiFXIRGHe37YXIzzX/MsxzO9udKbgBOtgCz8jCs59rDyx257/vMn+Skc/HskO18AlqIE
czzw8VQs/yD9s0299DMAGT421fRpNy6i4OORTX5SbdBPtxh/M4qDCHwxvfZabdFjZESsT63pzPZR
d+sEc3/px91c6T5Y3MW4WSlTDoN+9xFNhIzlIL4Ke//nN35+xW/uG6vw52gdjtEHbxmqcBsDjXq/
OdTuee+Riqhk0H+Jg/n5biLJgOZGYSywsN6cxd3GkBUaXMM6oIniUozvtVeSc7Lw5jGwlyJKCFWc
87e6cisX4G6+qA+FWL5rMuQMqFO7FJdr4Z7jkCctsueJF1kwvLOGfz1Wzg8HuhmDibigMMFRb3tQ
rB61jBtbAW0fh+omFGp+aAiAtL9EUZ6vg61IEDcAW+EB31pfjUFXVBTiwEM92q3L9o7aFvgCkML8
r64IvA8hQJwAdSB/cFACjjL164qW9Rr4XdRblTowSqn1/j3f4j9EGgmJmmJEUo4hK+xtgyniUDAo
vQd5OQXHuI9yGl8OdZuy4b1A8/YjRRTTQkKKeS4IOHH81m+KRLVH7bzWhwFTIuY6hVgm+/O39ocr
cPAB2MMEM0YIRH1vpE9QgbBJ7sHZLB3ILwx04oQvq37n2xAcA29WeiQUwRNgIxFMBQLA9mvMlK2r
TRfXbQYjA9RmaHei1V1khmVXdTb1eu4TNMHLPkVmhzsRbelNtomgD5JgadanDsgOTBX6OQwPrQg9
Er6yMi6dY1buqZZr9Lrsmt1h1gg5iaFbwmPpDPmNVSP84tAeEN43EdNjVkn0TGa7qvRBhdIvScMF
IC8+UaSa3cjHMl0sSJ2krphdkmp34imaK2KTBlrdC1Sma3cFn794yWLQLlsO5VjTY9NaIPoRgFJ/
JXsW0myoGthA0C6cto/NBGFT2rcs3h5ZBPOJOKlIZZcUIBjYHNUtlUxF328WN9K6D6YKCM087OLu
uzay25EAxrnztl6fQMzhRtELCPat2jhucXNz93WyJRJsozoQWm1RmIcI4qqbqQgXk3ey5zJ1WhKX
RbYz5IiXicIO+FdxB9/2ukvw9QaddQxdLtkSuN0mItTuOys1kwkcH+VtpK0bcqCWTZPIoY4+ON14
nvrGh/1BVMR1SeXdeDvgpnQa49z8VEwMVXwNzTFSyTGcalhbL3o9oBboDf41RkulZBE1Fras1yED
Pd1ej96Le6XVOqSgkT3w2ZixDYQIAJKE99OgL/dO42qrL8sl6W2oWRrpaCBJFK/6y8T2vqYXZJfh
nJRhJ1+pqIxOpW9CYAnSAot1jRmXBA30fk2BjAd72jZzUGKbBcV965diySs5F3V96qSLS4wRWPX0
taE7SNeB9EudyyCGV9ZOmY4T4vftJjajMhm8+BaTWBDtZWYbAVbM8AY2tjEgp5eq9QO4vS3s5gxA
bv+IanlsQV7Zccsr3SpAkmHAIfoc1mVPm3rYiwRJ8PxcalfrhHLL/LXbeYPK0Ba6vpDRVqhcoOWg
y6sBKzCZplaDSRkpqMRhVYkyBI7iYGisTtdzSz92k2efJBmGj+Ciu+9U9eKrhBWxzkZ047N0EcBp
EimD8WJFtfGIPe3FxRyxhuQN/vXXPuqbOQ2kVN9sHYP8LY10r1hbfsr8UHACEdC5V7Jvl9UlgLdD
k8SbqGDiPXDVHUrGUMg0oLJAH2M57dkuDcH7WsPpJRbjhuUda+ii0koZ9TxRge01LaIvQQm04XBB
QUktYG0xLgm8VzGqrKIuvtJdsZdgVV1o033QM0gGh1EBDUYoKSCVS7cdUUygcD93mSBdECz8Zpq+
LvNw6oLHkMFlNzFVHQYZHaXYACY3BXyCfaVYOkVT50AzN113rBkqzrQAskZRaDlS502jwhf4X1CK
97LJZ7rW7kULIGqozjhkyEHfurQvWXccgs7eKrmHApu1F9eiF41NR7Esz5ZR96CWwRG8xwg12dSH
mzlOvFmuUMl2PpGY4PSDbnZCrSSNvG00kqOMBeg4BJsxofGk2sC2RRkpSlGdpopihESDURuvLc7n
MKctB9eD9TYX2URjt2cE9P+cCyt2mo1b2YOOrQsg9/s88iaLQzvprOj7yw20yqMYSPCBGrf2mash
/wIXF4gfZTDw+KRbXs0XsDCMWFKWpl4gUiB8ANlFuy2LhtrwpJh7GgJX9uSWmlpXaTzEg0u2waxV
AonmAAfLBa17EDNggEdmO1DDSVCoYj6U4zz5HLNO+vK4l6Sk2dLMhUhN4CpMEKkKG+QcmIM9yaoo
jqbULckWWnd7yqq4/jJ7gAx5DOipvy1l2z922FFtAsnG7lO1zuA0mrMrSgJatJ5T5c58nvdmK9Om
HM1XuD1wkW89OuCv7F6N9IJPZKvSSlcK2pWQY6s1ZrYZ+NqoSdU+W5cKNs3l4dy99ik2OiZpsMdT
lcpW6+tu1pSkADPgE9+orgN7SVyx3qyuqNt82oiubm2piEt5b12QWcV0kezoiQDz3lD+uRwsFXDr
s/Xr1ARVlGOnFyqxCynbEx9AcWaNmhHaV2+DLt1LZYBZu9D80Du8bMAE+TFIxL6xewDPgU7WgmNH
EhXWUdIg7fhuVV9HKZIuNwNdWIWCSKuERyeFpHBOhtqWOPb4IDw2s7SITzs0KMlogBSnqPimMTV9
PL7AAH9hScXI5pK9KJs6CeAorEHsUHmFgOKwMHS/cPy5asl0Jk3m2L2Ulm0jXNcVLOYqtE7YTBcT
WkDMONefz1DrmBRrOX4vrC8HHGu9JpfVFimfYghEKC+IjCjgzLXjH0Yk8E8+dgtGkCFT/Q5fP3sV
qwUkE2BTwKqo8wKKk6Bf75zSfZXCr4F9h2Le6+OKLHpKm2KPHTDqGUKMrbf104SuTZBZM2M8U5A5
tAlbS/61F4P8AUyz2HDpykqkM+XGwMLPSCDAvuzHcTr/8WrF+FsMriMCYXJOSwzZQwLWaN0RvSJ0
AqVVbwjJuxFb92IbMH2iSlnkghcwhSCgtCEtQ6OAHr4Eo7TAj2H/jBE909x8XviMyBtGE3IOEEHN
Fwf9vEunyZ/Z/QIjaYHfo9Pcr+HiL5aOj1s6ucnzXIQifI0cBTiNiVwzTQ2KxjLloV9e5p716IAK
wEyBOaT2Y0c9+P5eMc8z0ZD5scFBS9DS0bjHYrNxmBecbz6NPOKcRF30ldfFeXNITOTCZujq/XsT
buDPDfzCoxKW7N2gb+ca8sYjTt/RHCCvqb/OW098yrClTnZurEgRWMWnruW1RTfoUt1MS7/HqZxj
/7DLElizXEn0HQ5uK6g+CNZT0S7zkC6NAAnRbQXWd7HKpzoSexaWTNWHmrRiOXBTD3AuKcAlwAC4
Rm18PUGI8MVNeCEfBhvKV4/SpcoNi3oKTcXS26NxjpBkLFZmjh6xguUjfFau42lCPkjnUPSprkTt
8xD1z3MM6ZE/sqAUn1u7bBsIGlNVh3GOCgGio4MQhJVegbA0sJfqHFdD2vZ8+lbuxi+ZDjYNtH9j
9HWqdpCCUN7EQx7BkGZOwqaBoxwRTZzovUe9uqIbPakmFi9XsGRQV1jsrs5I1AARd17HDHoO9D3l
omPNa6E03NEqOxT5WC+wMYTvaHEfgmyS+U72/mPElCX39d4EbXlR7Os8vS5THezPqPrZ3qRIjMJL
i8ZcoHbBpMyhZlq0D54tbs08kv/1GNDI24tpRBPpy+Sdjm6rYkIznRtCpW9ZXxbtB3Bl0XJhqoWu
gA9XxxIzFevnqgaEkRuFTsVkGecBmOGs2JI1LXYgaM8pRL6wNlubtnUr6w8qmJE77t0QhoBnyH5W
HhZtn1FWVt9k6dSPbfM4mcptrMgxmPqWf1zkUOi0lzx84bjd8jSQwYc3bDKeXALuqLlJ97jsgrSl
hmIF2KWYtuu6AN8k0jPNc+1RASMx75rexbl0dcCjrCECmhdE1kLFeRvV+2+Obmcyb7H+yzKX/CMD
/KCPLQodl5C6nYKbpkG8vUA/ZjGnCOACnsAjwWm/QYm1QEnX1oGtj9yVZX2t9U7WU2AQRtpkLX3z
iBM2QJXdoeH1SLXvyzvnHFsv4B6JmI1MX/b5bEUE0Q3M0NdLCUzXJW05TMMlN9M8HKUuSoQgSKg6
xNYiflpA0defB7TUf4awmcbHAuMA/eWGGQLfYjChExhfdFhcRGgsL1PTidlhAk9VreLYeOhaQDmE
pDqcCf4xN8u2kw8oz528pQMMDMCgBWcPEhjoBiCRHPTkcugIf4C3ih4TZwoMxEninpsftGyH7TjP
yHYg4KRFd9kQT+psGHBE32FeWU/PSm4qHichZ7Bk3aY+BERbnsUmEO2aQFzQipNCnhi91CG+TeZX
DLSF5g+75AZtngjEE7MszOZ1s3UmtyBsj/GEjr6c8RCkUhudvf46OvDyfsYsmQ2llLdQ9oC3VUls
O4wyDNehAKnhaVDmIOgZxtWRaMeOYmbsUhKR2eDNbi1UTp0einRu9t3lC15V+YWF0DkkFL5B5sEr
7odroZZaYQKO70kaweubZxEb5OOAP3lwsVX3mzVsPPZROH8TvfT2UkAB230YG7Z+mkobB0cEiRjS
x3iGxfRu+oXc2HB0YT7JzeMgFEu5vtB151CVOzrCXaK3E3QRHCMrH5a2Hr7Amr8mR6qK+JXUXneX
3KNsujUhvl0m8X3DS9lSWF+s81ySO1i5tv4E+dmIZDtUYNtxzopt77NAQ92VL4sYliQaYOyWrcjU
thSpS/dKujoYLyeQDVClWr/q9WqEmVSQLTXXSBBDcNNP5Q6hzy08V5cuYYHB6ltGCFdzsqpK3I1d
TcoraKr8lnQ1wKKU27omKimG8Zz5hAXpXVL73haXjELr9XHkaGlPINVwv3F0ICWuZuojyEkYDNQw
pX0OjZDuMYDEqU/pvgY/dIFC+uDjyXyjgQpQig+7v8SAh6A9stL6x1E7DQ1aU5U/lpCvc3YeKMi+
92Z0xcd5bfrP+1RVdeZ9rW/i2tMyFWMLiVM7ryhgOFCF7/Av25pTHw71KzV+CtKh0mL8TMeQ2QzK
NDlcYRZI8BIgxYpP2zRCyy287h1KlNpGVwN0yWddnW2f+bDEKm1XiEvuOSYWPHeiK8dLAulbe0J/
ZBNAFubUpwnWuJ+cLhZ3QOU6Fckiwgm2zYrXEAKIgAaoqfm2JpFbkY9GERj/i3PI6u8WSIC7lKI5
mqT97FBcQMe0XXc94klSNZ1gaYdDB88GpYhE7j+S56pHiEgD/OePbVgiBahaYZYbDg/a4XEzy1Df
hzDWpJeN94u5dgFqlDlhYHbLax3w8TcRMgmQZdEOnPuASiIrew15IKSCfjiMNKo+9CgjlgSzS3d2
4LVvRArwrm9SJ+YgyKcJTBqQIAdhoBknTm/aodrJVV2ihv2GtK2NL/ZJqTKF+tMt1zDiHe4tBoG5
FGR7hALPR5a3Cbq0hm9mLqP7KIJW69ig8WZCTkLJK+AY0O44EZf5yFWD0TBNxBFdvIV4OWc4fRdE
AjZ0iV6YaNN+gpz1BqZV0FLDNXcKLtB84SswZ0hjknJfHUY2yCJEHxUK0vudjrO/7mwVQq7ngj6q
XmRV6qcdysfmwpUBaq4dW1VAsSJCcylLeKUke6BLyOHoHi0pknjnEujfsQc3Wugpk025jskZ6f8C
VS/kanOAdCOBjyT7uFaNf4k6Sj+vrpsw/AcDrjjgoh0bLCibAD1GZVXWqV5a393vUHRgBzDIrZ3w
fAQWUUU+4W1TxileOvxOiiCiHtrwFcKDEsUVS7ZlUt/GmGH/llNf3tDaQuxsioHs8OOG3eQFmo3E
fTEH8kvhq+IhaoqiuOJV0G4ZNH3N0VfBqhNuMboga1mrVIISxwzHGSX9Zcwh0L5EA011X2MMRpsI
N/jLqox1kFUR2v2h691QRWu8a570nQHKt1k/P9WuHZGaTTBDQ3ptzBfI48Qjx3yox6JvPW4c025M
SmMDcZxqVvdVc739xtpezFkF6BLSiL42JzJhxFbqCTZRTopxetYyCF9YgW+XGyowKVC7DSeykwH+
o3p3cASc0b3lrtXcmRUqtamZE6p2cs/kANuroIGFTGL2ST+u06ggu6/6u20AqJvMS9h+juGpv2F9
b8OUzZgIYJKwKuS9Zs2wJZi0Vj5AsS2bbKwgkxq6yHTJAK3vDVo6UARANwCkDzac0W3dFYs4uvN4
hYNpLOzWDaQ6IoVd+ny/CofDfZvCBtKdLXitS8hCE1WxMshHtVOaYZxlVyWQeYNcbtRgq1MBvbjI
RQWxF0RowA1QJZUAbIwmektRXsXrJbaP3/GRCCKLGbisU2BQ/FpYI8usDTt0DoTzrucEdpuSYkBk
XKG8mMqfepsBEgQMq6/AZ1XrF9IzUqXTMJYX3I9RlZqZ8sexiOQX66AUy7aG4+OqaJ1eZRkg6DWD
H5aspwWwiLMg8kfjuPkWz9Os895W9Sv6tCE8ZWTtnxcdby9TFfZ38dRt+hCsYrnboOapzueT+THM
LHhxdp0gFRibvQOGHYkPo1LkWaATB/Uk6aVNZmq9xkkdWISHaIWMl3drtV9FxT5+XgDEhllNuvCy
bgu0ebiuQDlOi0J9m1buALLWtb+KpgnkZFzr+BJeodDRTkgL+mQZ/M5hYIQZg5lnNv4MAA+AropN
9yUyvD6XtAPZkJ/MKk55i6aUtCvn8ZvZ22FPkYyhSUVtxbQntQACBjF1NBF8y93pBNLw4TfYcccn
jKtxTRophOuUddAe5H4fhg97HfYzdveI3BneK0udQXeHpBrpjq3SlSCuXsaj6x+pBKxhmwgH/hRW
8qkp+fpkLe33ZIb+MMecupBkm2coHtnSxwHw5c59h1EHqLJJrsgGx/JrheYMZP8maB5JX9C8g1jw
MpohzJrYUFlIOgMG4f0YQwPXQf3/SSKlg2x4bZq7Xqn4ZQEw8aqL1VxQCoFhDsB5WVKKNo70XHLC
1/xQRpGNUhbr9Q4TRPmTr1x3B/ituF7Q+yeSCXb5XygHlATl+9Rf+nKT30UIHyyMC+NsvOKNRpDx
Y+Mh6V3CKyiayU2whnpJg6Dz34NKYRMBuTWfS7/Zl9FCSZ2cxxp9jdtth1ZmliBJai6aa1T5HVhp
AM8lbKK7VaVN7M1XAmYOm1ay7TUGmoH/Dd70z1C2MRCMIZKJNPRh/BtfHDYe9t2s0TwBXjKDdG78
woO68ylZC+bgCV1VBAFwlY/MorbFqabtTR9UfsAaRTKRhE5GHZJrhdGHdhknyKTMgNzazf13qNXl
xxDc3Z5Yt/dPdWiGZ4p2H4K+qK03mdw3Cblw3VCXboXpq2zgC2YTNW1d3GKKpYHyVNfQAlXdEH+J
IbqTAI0KwBwMUrQHJiv9W4n8SUNY3JzRi6AZfng2b88wEpk/i3UbsDN59QPwJUJcIcIYzVQxn6+b
0A/fevBtQyLGvtggGCbs1BDXTHk8DfVzUxmLkXQjlQ+8bFAe175YRiw+SAGyMlQdOQgZoC9jjlYp
k0GtTOd6IgLJLxqIIcrWnH/fS7r4VKIf57sHCoK9ukpP01Y3JU5zTNNEF89cMWwl+Fp9k5iJTnF/
bryR8BGBmh/ofpCdZY02gRS0hmdxUXcNLFLwcvIGSl9kOC3O8iBqKPZcRN39OhFkRRAHo9ljmfv4
g0SF/uxDPfEEm6jAxKB5GRKFRNiC7YKYPxGUh3c7G8QLp+ekDMeZjRLTkFUkK6Qchm4JfCm2j+MW
KMxyRNUGaTXmWZTJZM97lnFAfDkhtvD5ik45dCLZtQ6TEfACnhl65j7r8BKXpB5ss6dxayhDWwEM
B7It2g1aFZyu6rzuw8JeQG9NTao4ypEbRP/ovSlBb/RqQkiIRuApAQQcfRLkD/5oJUgvAeUWZhdL
lW/tsWnEyU93GOt3afhzRJojhZMweNh85Cor4zgNhMktuQJOd0vokE38FtNbkRKoTJQWliAnB8hz
5tupVxhM0P6lZnTcryAQuigKKjPCQNi3jddBG82d3XuS7RBsH9g0VVetqpf3lGdvGFsJHQ+RkuGu
z1XtW/egBrERxuRtl9Mp0DeNJMVDCc+pv2RcgWeJINcJcQHKIFBj7E2Xd9ytxi372OcxQJYEbeo2
nRToib9Gc5+vQjFPBCcpnkq+JdJBOTgUjEOfbwWILaRAYPfR3hCG72kD3tLc5wsp6I9QQwnIOt72
7y5rHJcFnft8cKNMCJ2G1PN+xZCUkP/VVYBLxVgJjBBgSvHbSSyu64CDBXhzFSbwPgfgQW+7ofxr
tgrn78NCfCFOGI0lV2/9hSe1OBLbpcv9iElJ0D7IWy6D4PDn3+etpEICNo3w0gDKCzRxvVWJNEZy
SrxocrF0/ilcZ3cDjEqeFMqMXLVi/YuqlJ/XA96ioO2Bw9BbB3LIypHQ9ZierdkM6GhvUMBERLwj
Qf6nTwWVEn6SqxBCt181DxasPwQrGKM9LGGQo1dfX3CB4oUDq7vQUJG9s8rPYo1/VBNh4RGCh4Kg
DguDR2exx7evD/VQmv/6P+T/7tp3AlYnKuvPp9vG+W24RijjUD4Cegnuhqp7z2bp7XrHJePzuggV
DiPOwzePCKPWrsIAN5GNY11cjEEPlmMx0KmGw/DO0/3xUliHUKuFSFZUxKM3wuvA+D2KNiuygMZD
yicN8UcJxHNz3Xsf7vyifn2RNKbn2Eopoxxr5NcXiSMs2hc8bhYUFSDZalZRNk8EpfKfL/t/dh0O
3SOWIzaAfDs5FpPO0BNZ1DxrV8YuBHrv0nGT9J1ALt6+OSFiqRDIcVxI0PVv7YyFg7QlRpvNwUDt
e91/HB+Wa3TiPJCDPxTHLdtTf2hvSZ1s1/NJHfXJZ/pgb6cv88NsEvfaPk006dNLl6+Zy/fsec0e
r3VKs/gIOjcBa36q0zqD9VACiUXvDz7ZD+33P39XPx0U//Gj/O0puPzbU/zB6mg9n+LQJfaH7rPN
dTafzBF65A1Z0T2FPu8j7FPzMqtO/RV/Ryv3UwX5h0srKCUg1Ysk0p9f14OpY3DOfOoP9OgP20sD
JOuzuuk/KnJsrwDYnLxKOwnW/nZ4x/3nrDH85crnIAWR6U+BII78N1cO5whcRQiBYHRTPuw3xf1y
Wd9vx/XTOy/3bahCjMJ1Yng5UKHOVgu/PqEwZmhGGtcHlnyZEn3NkjBdU5eNaZz7Y/kUH+EN8M7q
J+ez/Q8Ph6QLil1KcXKe1+0/xKshlgW6mJG/8mN3Gm/FxXJRHPxlcxtdBCfyXlfCufHj7dViiDoY
R3++4m/nEwRBKwYG4eFhTaMjvwzuxtv5xNMt+bHk0PLnLoeVQ14kLJ0TTJV652F/WjP/8fKQwKEv
nQrgFr8+LBJ6WVDQmQd4AlxOeNjtqjhFJ5UtF+4Cp8ONfBAPApD3mLrEpwFqtx/Nj+A7u1e30a08
xacyi7PwSp7EO2/m/7N3Js2R40ib/i9zZxv35TCXIGORlIuUqVwvtMrKbII7wZ389fNQXZ+NghET
NPV52qy62yyrCgEQcDjc3+VlnW/8tHV8GKpIHWZU/w5jhAX0PgKG2pxa7ehmfpXteugz9NphulU7
MEvUdrasf1/EmS9+AHBqzSSdBS66SgIdyvIJrk/xAfnLk3HwAoSj7nV/OLn79AP6Bt/jh/ZjWIET
2JmP4UfzoD8od2owvCufy8f63jzxoNy4u1/0Zs9+04Ly9OBi8j/Isa+ltoWWN2HbACuh2fZp+tB+
VH61n62H+mN67+3dj+ljsZcf5y+0cIuf6i93Y7u8qJauhsePzrBJwT1HJ7Sdb5eKOI7WSKbs20N1
V9+F93TjAo9Qox+qD3lQ+RvhdR0AgJqiYGKQSOqWbgAKPR9PdEKnHDfFh8kvffcxO22JGl4mJ4YJ
ytQDOQumlZB2PkA1NWD0+A0BIAjjEzHWoZCk6PkhFSL92WUFyA2jI5zfjmxLgHy9jsvnM0mU4Sdo
3IIX6rAZOofDRL+ssMvqQL9Iu5PQGg9vH8WGCQA1n5eZZ69WL0549jpzagbCrft7rAYXbmz91qz1
ZSsuibjh8bIg8T9fQmtMBd4KiQnx0bXoLai9nyWQQG/PZb0TGAXItq07sD1gZuirqyBuKeN2bWUE
dg0Fy55D7cD9V6DCEFlBrsZyA8p/5Qt5rBrZiWk7urO+BaxBWgNdWCPQMq071IrXf3JQo/lze1aX
2w/yyXKOPSDpvPZXFymKcFhIjYxCGVv/GFMTOHaWbJ7hfCqPcwoaRrguharbo64zLxfKC+h3E4wh
Md9av9S9bvaiPhMGGTnGrV5Epzg023hX9NX0n6H+P4HpH27T3e///b+W6sD/m8C0q/+a4wzCEpzB
dvqfv/8f+pLu/gt6EMUSAp3N+3xhc/xDX3KMf3kYBgCzXwgwCHTyR//Ql6x/wVuyqA0tV4CqvYTh
/6EvGca/KMTw+EYPB+oBz+O30JdWO8WGiwdngTNAsKceuxaTBBFUJHoE9FXyBDb8WbR0CztciMr7
iIdxuxGwLoczqSBpDEXdheRyfb0oTtilrTnSi2km6/eYpdpMzycEsPI5Mr16/vvVl3j8T8B9zc5a
HXKmZ1qqic4k55vca32dqXGR1lMGIVyi9/CpJZd/lrGdbISu81EAILFwxHl6DoRih6ByHiB7dDoi
taOT5OIfEkwtT0QHhZ797bmcB8h/RjGo8puUqnV9TWUowccixwOCHSa6twd5atFyGrOfESZVQZx6
ypvskZbxrKUEQ10JhobJTjyfVaZBO/dGl3p67ZmH2B3GA00FbSNUXa4dvXLiFHckZwSvj/NRtM7F
M1QNa/gQQv9GmM/v2ooewFvXjlEIwQ67nX2w1h2tZaaK1vFoAoEXdnzhoYoA5MFC2wHQOAQrTQ7i
+faY53v9Zf2okMFzokhhwT4hiLx+ZsBBk2AippruBUgCHFSsAL2N5L2K2+LG9K4MRYjhQPHQcCgf
rBZRr9DWybuUoTL6Yb1XzAfkkyofnHm28TK83IWWbdJHo1xmuYgcrvIpi2wKHhLtNIg1yV0XJ/bJ
Jk68QxDG+zggyLVRRbiyP16Pt7YJndqSfiloHva6NlenHAUAZZ/0drwxzrUltMjVSEGZHgJK518r
zDFqjUtLgtqToveTZIYh0MZA5Yyo32JXX1tESpyQZbgAKA8vf/7qBerJ2nabBHRGNOlp0PW1/kHY
duhTz5sCe3S3arZXJ8d7nuxqod+t/Sx7VC/oeupyp2UdJUcvgTwNVGUXxShVvHnX24t6usNp1ixH
XyWLsMCtFMkFMJC1mgGFz+wPDWg0QHRRvXHAznOrlwN2NtTqgPWzU9UNtW7AR+VHAcHqCElJfnU0
cLCDmcqvaBV9vz27a7vx9exWMbE3MX8eQIsvwjW5j8KAdYibNto4zldHIS11qU0bNIdWe7HxKlHP
6DnuqtjrHtOySniXF8abHAj+WT42O4fZJlN0V9XG0ApNKTxHAp3P4x2od+yb+3LLsPLaVn/p5ICz
9NBnX41SI7pag2WDAARlDq86L0vvMzsPYfU24tkjXm01kK5t9qUYzbOPfyPF4fPDBWAdbS/bAJtH
YnbM+u6HZZq/dKk7+7dvBodMGyQfIZeHy/lAtqWKaLAIGSJUgNbnjYtwn9ZuHKiXhtf/fUou38le
eJJLmYwioLYm6wrFRQnPQuZSGjVgMRxffGsW9BCqKjoWQ4mQjm0dwzAFAmi1A5CLvqBPq+Lx89b5
QtmmAK7rEKCXpOd8voiWquB5uWW0os3sp6IxRXMHWzFvNmKxthyj9ZQNm1xHN1xr6TWdjzQ2kSu0
saQghnLdvZrp/UHKyngu+/p9ZCvjfd1UCCimJdQFxvfHKQXO54DkbL07FPXlRip0GWnoSaIDSMJN
D5oq2vnvGSbyIwVoFKQJGuyAnaHfgsoZIiNAhw9SSVz39qemw39w4+tfhgJG1uk7gPswLtMjmH7Q
PjRuitEoXb8uk9QHP7NVEr06v1ejrC51QDTeHC16jgOEyqCLMopgMsQbEyzs5P0ok0G+OcQxLz4w
C0c7mTrJ+Yq6SEMZZJRyZ0wurD5vNP3eBA9we8deBh9GoZNIr8PQeH6t7tmi1MEzOK0EY+7Zn8CC
yb2RNslR7bLkVxvX8+H2eNfWkS1Lc4+x1IuIEKYlL0WLG8lOBrMKeukqD3qoRr7r5s17vZ9g747w
g7f8wbfGXc0Tzu0oZbmgIfKifkiGsrwD6zy/BylXP3Toa/hqCo/y9mSvLe6SbarUti3KT6vwN1Yu
2AXc5yEFaNb3VsGifA+5D6+GwqNmi4dA++32iMu/8Tws0F/UkI3gCcS1uM4FOyMaCquBTNpTwA+A
mtWBkdMoU4rx7WknqTQZjE1pUrXpAZ3vzxTkFE6iJozEocv2ajp3uEZbb0+mF2I6CQmJIAyNC6vY
CZ1NU5+qneJUw9FITZhtifOkSlCzWa1u7M4rseRstGUXvco6h0i3m9EmWgEDCzXfiJ3URta1nqeN
nbHkJ6vv5ECap9pKXZ36xSp/4RzHmRBzhTQhwF8BTv0Igl29xz/VBexi98/jQF9kl0+DGDaO/JWj
gGABZRHyax7ka4tQJx3dOW25/ZHw9j5naKt+pNjY+RVohbsSR26kTEVobcz4ys700BfghqChxL5Z
XRC8SewWKCapKEiSXWV4gKq1BDK/2iv+7UNwbYIvb2WNRN7jejz/im6FOJMZVSRUouwfbITD79Cc
tu5j09NPbeigUpVJlCBvj3rlk1LioO5AIuJa+rohWAupz23LqEZnowuaxbEbDFDlUCcx0GhCxgXs
mYdkdQwS9PbQF9t2uXTpgS5tGq6MC90LGD+VlEQUgLWwPdXCOFCL6Te8MC6+IKNQffCWNxnp1jq2
1OGIJvfMnp3jVgPT3CWoxaEdcTIqp3iTwgup0zIWqSkvQIdazos8y6uDCIMQCdyqrXapV4yABjtl
/tkrevY2VNA/45gQ0cAfgbBcBzFIB+gZqFBkEZCcgqaazAc16/I7CWtnI7ZcWz40yik709GltbqK
lxDGirLMc4aSKItS9sBgYZ5+iFKdNpLDa9uBXIgjgCYUDYlVcJHYbMWjXlXg3NR4XyvkumJAVPzN
m265ZrgaWTyV5v/5KUNYVKBlj/pBZsEGAHQPIrjMt9ptV1aNhHqp5zEGSlarUSYtqvSkCcsdvQ+S
SwLVvhzd5CmU0fzj9oSuDkW4MLlxqEWv29COnkuE6lI6mbILD23aNn5qAJamJPImkNPLrgNT939H
Wj7gq91dlJMMZ7Rc0Yntv7pOYewLyB0b++0i+aBXRHlyiX/EXWrJ54NoaFmjI454r2aX6juZjPJz
bqBF6kUIXiLIOm61p1aogf9Mi9cXXTAT8RqohucjzjJLUJ1iRBPszKGV2E6PRYF6J0YHaJBYoTgV
Yx/tJ1zyjoUq9X8rk3LfWEV1EMaQfrr9Oa+cAoMPaVuU0kEnrXtysI2RGgrZOY7XzzDblGRPieDP
2wdxwBOayBhTPTVXt5othzluoH7txrjWYx99PbsNGtWr7I077drXpDdG2UgHCUvr43xtQzOlRTux
OQuIIX4iDOzbcXHSrP5UtMikvH1ark1vYAGPORzz89E6aMAjdhagnVsrfEjR2r6riKLBfzEKBY8F
W0AeuS5sO5lTGxOssF3S5PW7EiH7/YgQ90Y59so+YNl4RBER+VDrlUMCFBnfWCx5qiM+ZIOHBkJs
ibeWimg0oSVBLcrgbeOundHduVeQtmfvp7GRv8fHT0cVodhSnbusdCzD0IgCmUNh2Vw3zXOk5WEx
o7CQdGH8TpkwH4CydF8Olrez1f6DO1ifKtTT91I44QP17nvbq6qN++Uiv+JHaDgW0Cag2oLa3vnu
mKXaeW2UkQggSKDt21E0xaM5WmoP82dAv30cEJq+q3tP3yrTXjkGvAZo+gG8ADO8Tu2UUlhqh3bF
Dp6gkfpCtadgqOJ3Bv5fPjpP/Peb9yiXD7grF2AQi76KaZ3ujPmsEkVMOKG7oTHqg5PPWyfh8urR
+KRUyNhB6LKtnwPUnKOxdvistogx0nad8m4qZgflX2/LE+xyBRkKjTSDt7eD/Mny56/uHmIlTGSL
FSzRSVSCqcyku1NnoX3xGsP6LYYcIZrba7is0dljBw1JTt5SaSR8mbRjz4YUqbTGSEIOqYocnVhP
Wl9lN8y/ZOdkgaYV+i/KIONDJYzyhBdHs6EHfLldNWMBsvHSIZMkqp0PnxdSjfoBEXLknaIgs53f
We38tAoKVNIrkDpCguv2hC9DzjIij9aFwOCaxvLnr9a4GWLgt5osdwVIoaMhu+7EUSn2t0e5eHB4
4Beo33IQ9OXuWaV5OuItlllCdakTJBV8t4jj73KecjOoq9B8RK1sjnepC4Fv52RZs3VHXNmzlrqA
wl5AxrzqzidZz5WTFg68GoQE5cGKcGPCBVgTz2VTG1tAtCuBj1YJT2XAiNRReBOcj2YgTGwOLSDW
yW4eiYvps4aJTNCbdaYFZiOsz6mR81Qe4YS1Bzh3IQSkppFfRG1uGmldWXn6sYABwI5rCzrh/Mfo
GYThWcLDxTSR4woo59dgk88X6ujhjhCm7xv3qyYj8earjEWgjU7lDGAAXcbzcdXcyyxZsZORp89K
H7V0Yz7iHxFv2ctd+7Y8vAA7wPsAsL78+asNnBdFEgJxWBTEuvBLPyXGIjXihQ9Q/TvneHsfXxvM
o2y1qNGCwVwb1KIfpwulxdBgprJ+X2ll9wEFCwUl8nJ4vj3UleBnL0MgmrnAutddPi00rQkHE3LC
xAl/J602fXFbpz+mRZadaGiKb7fHuzI1avTAWywqAkC2VjclQi1x3k0lcb104AILGpgoMNBR55/Z
iDlXhnJpOXMlMjWqxau9Edt5FTVtguPXZNaoJo5dF9L2K4w7eFDUAm9P7EpMhZrIxIhyC7XBON8g
yVjYWdQpxU7LIeyHUGjhp0oaf36IuvRvSG+9epTcNRsvp2vjUm5kSHhAgElWJ69rBy3TYVbvtAH7
nB0iIOYH1K1yvy5i8QXj8/Kd2wtlI7m7trYYCNAeJvni/yx//uo49E5v5q0SEepwsArCglNepaho
OU6zhUu7skNd4hz4PmrGcIdWCzsjG+Yg4wast5lnP+tm9ALt3j11dZgEQxEpG4WWa1PjWb20T6gX
81g8nxp80UiOrlfQ4jTtOx3/syCPrBJxE8y4bu+ZZQeu0gAgpga9hoXTxwV5PpRpow8QTQtcOYqz
D2ZN+QiFz7cBPpdHqEZe6KB0A2WQVGo1ippXaW5bRBP8l+QemU33QShieHMtjFFsKhIMpUKM0s/n
0ghab/YEs19m1ghhTUUg6oRiIo5WE5qxciNEXtsVVKiWdwxJBWys8+FUdbbrLiZuKW37ucfYDO8E
lD7Ip3aOTLa8Ua+NRo1vgVBRJuZddz5aVTSLICuHu55khIBubRyaNHLu1HGsHmZEjzZmd2VjEJGp
RIM2ZUxrFSVTR68GlHyK3dBXFX1Zoep9gI1RuJVFXNnsDLEUxhaeAXyb84mNlamJNuYcj33v5EEO
diBw0tJdmPlh/fn2dr+yiiwirUk67Z5He/p8sBDFiaKNMMNC4sAqAn6O/LuoTdwKQ4VCLpV/U7w9
OnJjUy0lJyHlXl/bePfko0DVYJf0ceinShSYOm5JTWehwYgpzW4ctSG4Pc1ra0pSja67jog0xc3z
aQoEapAXB1btNNm9Tjdxn+VGhPygvlVg3xppuRteRWG7AhYGKqjYVV0b93eEasiPuCb2lR+nyNds
TOzKVeNBzaLgTW7CnbKaWN7WboZqHpYL49we58kCjWyHXiDxzdwr2NbcOzIOv91ezauDAlZ/gSDx
WloNCgt80GLXKHbNwCLGQEG+5JP9Be2T+qDaEl24RpgbY155nhH4yap1lVf9f0xjX61r4wLBTgyk
gHgpabtIFPdeNWbfJhh2f+MAlf+0crUOLEWt7/RhzDduhctceukKEULJqAH4rg+/apbOaGRxgQDw
qD11eoHWs6ijv5RQdu9nVwn3TSib92jEbNx8y/k7v46W7cpJIY+moLC+jorW9OKW+uQu1AEO0dKI
9omR6E+3P+hlFODVCWAf1Ct3H+nZ+abtnQKBK11QsAk78TNChELgz4my+8EMx/InOtXRX7dHvFzQ
5Z1LSW1h7NKWXcUd0SL6oNZkEKgh58MODzbrEbg76p01bRW8xtG+wKcIxZuwCnF3efvoL1k8zFoo
jWv+LjpQOCWapKFqVQm04hQOJrX7Ugy+N6D+ha5AOA9BNapVeqJYrP25Pf5lkFiMHwCE05YwdCql
5+tt05EgTSZI6FAK7vjrr7Qyh6MOh+Dw5pEokVIZopXzUmA/H4m3g+7NGbckZsVOERSzOyCPnNLT
P9i9NYmNhb08pbCdeEaQF/JNKSucD9cg7piMLb65tp7J31wgUFOTNNDSkAocvhDHKJ/kj2pwqmMy
GebX25O9PCyMTikdwDN0EApi56Oj/GinHVRE9D3q5EGrbCyDkkJ/85FcRnFp9NPtAWK6SgQ4IS4o
7WGh6CjefTKZH3p3VO7+i6ksIgAAtnlArHE1DVg/BVQaCznM1SOg9BDFHASgtrBgV04+Bps6pUp4
YiTXqyyK/qmVD0VXLLJsVuAhPnz0tDy6A+833rtuq7w5JQVwBqeFPhmUhQtEWBPpUymXT6QoibHP
ejf7YFH3wqhnNB9vL+G1vQjyEuGGpWAJLv18N+Ro6fPegnnkOENzpyYSDSo0ywME+LK7qqnVe0m/
/cmqk+qHQPpl4yhciXCkcSwp9XwA8WtssJUhplOrJN/hiIbaTlJRRDovW8TER6d+RhHI6neWGctn
M46memPyl1c0GRZcCZo9VMDtNWKqVOZKtyi/oC5fqj/4GKgyFzqH0e9ElKGeD8zwE3rm1n8RcBgY
fMHCw0T7YTmjr+7pNo4bGfU8AiZNNgiduNZd787iu+Z06UbuujrunDwPRA8+GpxEJCzWxYQQ6e7c
M6c4UAckAzD9bo5a2ScbEXRd1PtnGJd4BheQoL3aR7CFYK0ZRhwk9ChaL0OJLppRJFMTLHntRv1A
P7G4Tw3lMRzD8SDpdj6FXfvG7XzxM1bBzaxUBERNPQ7iGrOLEXHSI4nhcCyxiwhSb96XNj4JnGYK
b4AZ97cP0+rGehkdgN9i9UEllQrO+Wety7iMcfSNAzeKEAeV9rRXo64/lHG/1Wa49llfD7Wc61c7
yJ4NZ7JylIY7z4v3rZFhaDg25cZnXQW+lwnBV19Iugv8YC2uge57aok4EUEY185wr4KCDf1mqtL6
DjViT/3sVG34xmxuGRQkPacRMhPCF+5yal9NzZhMWVulFwVDKKL3FvCmYKlcbSSrV6aGNTGXB/AZ
/mOuRukgi4QKBabAGyc3f+gwbkxPLa7LiFOLtoED5FRE/NsbZBVwXqZG63JBajE2j5HzqZWhE4p4
MuMgH9UkpAFcdTFSVXODq98uHZ3R81tX9MMx6iTd9tuDX2wZ+vnsfdAKgO2Jtasrue5bB7XpwvQt
2UYntQ4nHwW+cGOUVUQ3baroKsoedFAXEv4a7tNlMQSWUtf8KJ6i3p+MrPyYyNHbK/ao7JuJ2zrH
kvRg6HO0Ec4vjh9DIyCx4OF02inmKqp6SamGaYK9hqaiN/2oW1Uvv8ZtqyvmDoxL0250o66Nx7ng
zl9MsiA1nn9NMZuZHiqV7k+pibDtMLsB/MLMt5CxDG5/uytDUbuHIA9dHaj/ul1QweiqUyA1WPn1
Yh+iIBuM3MuENFlvfMBVRrB8QFAQtNj5y0HKYbVHk9TGdKEbmFWjlg8iLKqjEs5I8iooWLY9Pf5w
6BI/yUfj3WBYw8ZHvDiXy/C0RkjqQO6wU88XVVc8jxxY6D6b1D3iz63vTLumMK3iXirNUn26vbKX
p8Igw2JZ2Tzki9rqI+IckIYYaYe+jtj9Kc3wQZaxaDcW9XJWZ6O8CCG8imkplGkFs8nQp6Pv+JFr
l342grzThPeEaviWts614ajOLuBsiBTM73wRLTzBqxgjx4AgphbJoTLrKUbcABlcBOjcwpz0Yj+1
WWwe3r6a2EhSBiD1p/C9Wk1BqREMv674hlvamPHQxiybN8KB+EjQagFFU9GhA8SJP59dVk6ZsGGF
+xPT+eGpZYE5RlFtVOAuNwYECBX9LzDuyACsr6Gk78NoSLwk0HW6PpYbl3sFgeu7ty4Yoyw1Ilqi
FKbWpammNAZRuUoSVKZOZgbl9YBi49Z+uAwfCCcAoAIKBy2Uu/V8xSjVh5Mh3SRQ+glhR6FyvQ1a
chpDmvW3J3RxxS2IJnIqg8cLZKH1FVeXC8s2xoNMQhX7e067/NmyInlALn4MGrdU7iOKqBv36rX5
gYQw6N8CC4D6ej6/emaBMYpLgiQWkpYxUPZGR7dyVHA8vT2/a0NxorhfeK9QF1kfrUz0GDKxLQZM
Fz5WKD75Ze9qP0wAhm8+TAt7DwwSFfWlrLfa5+os46nq3DSohrk8oh7779qwt6AHl9+L/UA7Atz/
cm2u4y0ifVDUYbayAZ3pS4czWDArpngH77V5r4oqe1/MSr3VG7s8XOejruJEaGNua4owDgwsrU49
XlPHsum3RLkucxGamlTQuDahoNPfPN8W6OAvPg88SvDujR/ztEMzyxkLPzcr/UETSYg9G5KrJ1O0
4V+3t8m1CXKJ8bLVyYEAWp8PPc5NpSjjyHvItrFm6vT0XdqqW5Wkq6NQ1Ka7T7UXwtr5KLhagXgK
LZwB9L4/LN4UYMi0rbru5ZbnTUMgNBaJBnpxq0dV6ah5obUiCdRuDrtjOVSNfpiTOs1PMkeueSMk
Ltv6VTWXaTAchBSUGnhF8Zo8n1QfFSYuOjhjhbM0j1Eq56fCirMgqZdaldf13un2t7pyBKj6AcFZ
6uakx6tvJVrTVHoEiRF8J9toW42eFQqW7omHSnvowZW/652myfe3h72yrMRjQDeManNnrj5eqyzJ
l0RnPuLyOVhFMt+FcUdJt+Qxv0Wav7KoJP9o7S3hn1fValG9QkV1NpJJ0CCvjfoVOAcc/Ry4ZH5s
e404pWYZ528OyxQaEXtdLjj0KNxVLmc6w9A0eB+iMIwXEbWl8NkeWuM0G2X/9+3FvHISaFxxzCkU
085dI6jazqELIPo8AEePDaPWWxgheL//m0EWFTeGWgor5ztT1aoIPF+bBwCgB8wAVTUoBm/euEEv
9gXlE64x+n7UbBag6/koI483motJGcAtl08ZZfdAberhiGOC/e32hC4CJPsdJSpSD863yXvtfKii
LuoFXL34wlvGcwgyK7yL5wmSa1AiGu+htCtx+/DNoZLpz2ToPGNji9BCvfh0vJ+ASpIgL0gQyPTn
P4LnXArpM5X7yVJTeODKbGR69thncxOlGLGYqN/v7DifM28Hf7JJEMB2cxWbMo3WXYh2dKxqufZ5
zo1J/BWnYDHMO3yqK+WrcAoqFN/CKU2K5IR0dKP8LvIEuztfidVQSXYoORdpsleHSA0NzDCLXqpB
29PuTY4YP9TGcz/ik1j6NjY7y98vZmn8kI7I239rrVoN32Z9to0Pde4gvi1Ts+18vZtifByVMkav
ONHaJL/vqiS+V53ETmiOJf30fcRKkgZ5gaNo4hx0E41mf9LSfsDqEvxR/V7NFrUErEsz9yvlHd18
sOFSqr89fL28LykPQjxNS2hRGuq32Dw6QZ8pSVfw48sxvK/qJG99OrfF8FmbFBu6ZNli4BDkNMlT
/ArxqPkymkadfKxLSzFOmeeFFAiZS2n9kNmEDWZgSPy98aXEMn429m2fjErrZ2qG+u+pFo0yHNsc
qNWuIecfxV6bYrRk/dyTeNxNUxWqeB2ExvSp7Gat+I0Dj63HxxZJmm+y4TnbB1ldVsoH8LIl0uOx
NwN27rQm5qGCG1GQ2yBLvmtdpEJqNeaimD9XdgWm1YuQjtiPjSpbv3OsLHlqFh0aTG8MpfO+WeHk
ND+rrkY21afIVHSfmzKh6LrriySrBU/Z0NNOwtDb8ZMdj23KKyKaO/T2MRdSzATLjrqbv9mjk0Vf
YsvtpYJ5dIgVx12GzZ14ckRXoQAObcY1n4bBKTNMf7JowKFr6cqSY8eTPZbfagfGPu+uovLar/Nk
DIiex1h0KE8YBUbZ3yY3NqY0uaK4EV4BQ435Jx1/1eo+45ugWn90TCEitOT1BscDX0S9kwg/dvta
wyWrk2XdIpVdDriMtBxk7xnjuRzMelfZ7oyHo1UUP1wrVZN0B15CTNwtWecMP4mVva7uWkxV5kfZ
ucAgj0rjTbgX6klRW5GfRoiu17vYnfXwT4M7jMVWDu0G2oIyTZr63TWnuYGzbo5z3ftYksjpRyU8
TLwGvTJnzHDqLvpseGFbPMNuxZba8kJl8KFF4Cvsqm2IF20ZT+r73I1CCP8U4+evmQJ6pA3Kzmbw
epDOu2nCyOVrm2CNdXDDkgiEIm3XCDWASqRFyklOGZ3XXSHNafpRmNh7iEOuTsg07JxUnYGIFIlS
1OqDUet55eEArNYYeopWwdp4r+JmoLgIvWNDqD90CkxOz9f6vJt/W0KhixWEogEFtNPKSS3NAxCh
woUxpynzhCUDivbDDxCWSoKC+8w83uk6Xp1w5JMaWPJuKt0o/cuS9VjFvhNhAfDJFhXiCbB2ptBL
dnMLRAZD4qGyur/zZFqcaxQ98urOX/AQDVYyWibN9kNaqlZW3yGuJ6ruWI9Qgxu/51Hg4KFi4Gz3
rjASLLnRLopFIe7wc+4wyM00r612Bho2lq+bilKlftwNbqXfzQa2X8OXMLOmrvtUYA2aenukQp1B
+1KHJW8fsjvXMpKlJ6k478d2HscHF9BQo++raDaH3eBNnbZvmglZoMBThqR+zBM5yZNEzwObC1x8
yzTZ4cAzeL/dXKfncWiTCRfpKh6cB01NG/WnE+tN+Zw7MPJB/QFWAngIkbT8jRaeirtfT7bgD1io
9Q+qXTnh88QDufuqIsydHTPMPfSHxkWPyid8qb+cNkfgKO4mBB3DOTsOVqghEjHICOviaIje2yGe
2HiuojObeelH+moV/Z4cSX7r2UUzP91TbqpHfUfTu8Q9u+oHyLsVrhbKd92g9v03c4qN762Nv/HO
6hTFO/KzaDloIu0mHxxCZhyBW6vZQzMVoRXYA2k65seeLr8bne4q6k7Jc1m9wyjNyz7paZzJdxo3
cPgozXic3hHvqu+zqU3ia1R4MvzbmWM3f0pSxXWeWqnO3newQLI8NKUSO4HQqn46kqsi9d+PBaDR
vVTy8E+JpUD9CGw1zhEdjUfvF1u2ZM+FGnCXp9rWi+K3F5qJDbGwZh325dzXxp/Y7KlO75Sy1tnV
7BF1fLKMnPaUUqDY/BkTLomTj5LgMQU4NczSr2GEq0ZxMofGbpyDatXRiJ8mDwUsOufBTep/9+40
qH/6FF+fAQNazewUv2kVU/+l1+PY4V1aFKM9BzA0+gYn1baMonHneSK24GqUYkGlYtogx8a3Jyz0
/jhdrqrZrnRlA1tW4Png/YWLr1p9dWIzj8kYSja62IEMw6LBx1PIsECmaF3e4nUauWN9dN0+g4NO
30O+jxVrwLo1FEgG4ahCPAd60HQ/cnCh9Q4OVdwRGjWcWlJwIGAstVKhkTSWMbAiNY1N9+sY0Tj9
Gg5K/jsqqsSlWpn1KdXgSvuqKVTMfIO9aPiOjOr876ab3U8AvLixvVwV45NdDOMp4nyF71JhiMIn
+sjvrkbjlwu2T380gHo+ZVOZ/LZjq81PVTkaT9Uw2E8QT6P25Vr4gZttjS2q1tj3xYAL6mcyBSRm
LWF5+VHigDIcETTBe1t1QnP0jdKrrdPcqMBagPsiW605fKxpVu7qesL+hdqoUHeiQvHAB4iHHIEl
M9SEE9sK3/G6wZWnyrP5r1jh/r6rWl2a+0o0+FMlbYsBotTSg42Hknkw1SI68vhANaSa0koF1BZK
EVR5UWIWDmg8qOledMeB6+2HARYz82XIHYOxaM9HiTEkx08MVGvrT/XQpXdN3GNkYvYu2DHU4rwI
BaFx6IN4UprxPkL2YtolSeGc0rxuRyRrBlcLVIVraKctQ/ldifvfrsBBw/RrrbSVwBj1UQNkF4lP
hDv9G3Z/eCfrk9d8MRMn+mJFY/hvDJ+9J61G/oQVURT1IOKSPpLq1Li+wA3HANBzseLcIRxT2e+q
MB/Tp7Kci+aom01S3Y0lHJ1DZ7T6+CWFaS4DUzpKvEusZqANhDn30W7wYdyHk6uWfsI/83H5DlTC
p7TEITsMMcEmRymdwJzJRcAlTojC8xOx3MPsT//LG6z8ITLKGS9LPFCYgzq2xjFWZgmrfI6Tn3g9
474co357MGB+W/zaAkiRZVX4Sed5qmO95uaHBMcZ3acMSw4epS7u0XiUR1/rNEnCkxmFg447kQDw
aSeuh5C1llUf0wyXlYOjJ2jaeA1OowejbFRa+t6certybsrJFz3IXgwRNWFy9HPV2s+4C38anCa3
PudplGj+YCt4yuWjUzW7VGBF+d5yIqxZqsjwIr+IBkcLSr5n9UHOqn4qoyS37kqckEL+IcUku3Q6
BEENmEH9rnVaglkzx2Z2KPJe+agDrSp/aWU64W5DzNxJdO+RNo8k/1ojdXCyxhSGjM92YisCKV44
D8hoOyaKzcTwbpd5RfoHP7Jx+GMjvPI9zyruk0TE+BkWjefVhxZPTuaiNYVPtmQudl/APe7Dsba+
6tbUuHhrwgPwhdFHn2ZMdRF6B3n/MPYhyWU/DCR5/Vx5WHqVZjT6WIhgHOOKMX6cpK7/bExPvIuz
Mjd3rWpELcHQS2K/CHsC4zBr5pdaVyesi9PQ2ynIeWmf9K5FsgCDTrwR01r21MbSpu2KDxzLaUZs
ceTms0P82R8Fee0zttZIu+DIEz+UmtV5fonEJAl/Wqa48kXCNU58Kqs/zJ0YGrZq4X3qoZsk+3CM
23AX0aMWp3hQsPJMgergbwiNyTmEbUg5eFbCHLfJctS+m4OyAKJgcyYHipDN3jN60KDhKMLjrPcq
OkRWFOVHnN5F9U0kBhajrpPGfhN1xC46GxiO7wYokvmphu/6SO1NzwL6R/3/4ei8ttvGtTD8RFiL
BWy3pCT37thxbrhsx2EDO0gCfPr5NNfnZBJJJLD3XwkjjrSLQ0yws/B+hZVYL0jSNPVlJ+NpuGFW
YWtr+Flq4v0S/jtOvQTzYTYSOzwGlvIdWr/9oT2j+FsO/faX+Jfyk15fddsFaPNOPlv6414vzWuX
CwpvHR6o37QNOvOF0/jd69QIhzOTimX/FJlQMRQ4eSIOAQOFfxG6xm2ufNWSlFsxfO8Z+z7b2647
/3nCY2ePOJCGQ5nXIXeB4NbKkPGSj5UrGVcMgx0L6qr88BFWnnCKHTNTckKj70wnEU2R+VV3Sdxc
adkwDuvViY67WrmHUsqYfX2kKulcjSRE+VEXOOdTRGtO+1ovdpsPazvm/gVHMQVJrU86eO3vFF5E
SxKmcq/JCkBIkfxzJs/8c7RI/s0yYLNda/rLssWhVvdsJOE+Q2CnKvaQ1jvmAes5updzYKShFehz
2zacLkXpt1QQJrv/DVnCDqQTt2FEFtOvOI/6r7azwr/2cadfuE4YVxlw9jSSxQEKfMK50gwZ9dNo
T8pydN/WPl95Xfq9+BN2w3Yf7jL/TLQVT4vvLU+JSLbmYmDiQT6pA1zFUQvpdKxolz9tsp2rY+Ka
OE/LpbJ3G11zDnXNm/mKiCSlzlBY/V375CSQ9NL54SE3XnShnGl1AG6K/XN25IpVfog7c7k2s/+1
bXKJ8PTY/nPg8NiP0RLXd17tOf+8pd3uVwEOTtPQHH7SzVu/ljSBKiyNar5ewoIRKYBMod4djc96
qRDh2sO4Ve0/ugDFVzeb2uN8s/al6jWxLHO/q/KBzmAJbdqu3Y+r5slmm02a5miFVArlplpuRGso
9fM7O/4rQpn/sf5QPC1c4Y+hKvVHqYO4TVe+te9o1NONaUeXWb/jN0/JYDE01zWCOVCp8mzblTOy
BUdaRehtWS73ycQantIYrdmqbHleE+KgenS91nSnwakCEHmXRKPTOtt1SeuxCqILmEv3I9RNEJJP
MosHOQW87h62ywigih2epivDmywjQ1J+jZIghm0SdMVtvsHC0RjTX+9wvvK0eSz2lCtpaE8ttb6I
ar7rNNGtDrN+8Ra6AOaIh4xGZfmQj3H5hvJCvW7eAg7E4rfMqT8ko5PmJDCEaRvG5rlRRfCz9om6
2+ZqLq5NKXx5TGKGmNNkWtq6muXMqFCBW1BDGSl9MiZJXrnTe9r4gqq7qXF46ytagsM//eqLO1OL
PTi5cVm+FwysCwWiU/JcJrk1eB8bPAZgLEGe2XIcj7FrouZydCVNZoUc5N949A0ioC5XN3Kf9je5
LTTbTcEcdkQeWUETKb8MxcWJQwnDWu6/88JYc8tpEbSnxGu8YytjvWWktq+Ms0PBcpfz4fl2bGJ/
s3T7r6SHFy/NhNE3rfQYeGkhmAEOXmOdf6qq2xvsfucjHPSKIs21GiKaea1+jLRdCe8l24EvYN/C
bMeW9UCum2+yctjDLl1jEY7HgrE9oLBeOlfBuvExE0wQZEG2G1VvvM/yG4Yv/+UMcn6XyOn/QBPY
m0ItNaXGpUre423t/4IEqsdpGdqvOtj9q56POWWw5Ky/BpaItAw0/+jgtiS/8rtZxfy9i+WJErne
jjlt2V7qynzkm+XMAAfxgvlZEe7Bsu+hiuD0jMbHlS11Swnyrd2bwYrgz2rn4C4K6+lTVY189yMo
tHSWSn81M8lTqVHgn9nc9mHLsVcrCjSXOf6EYWZIXkqadvdgNFNq+RLvSI2md9YpzHI7LAVDiuMu
9JDlkeqxdY0iTC17x4dAmvURV6Hk3+0NWEIQbvQXcqjzJrXrRAlziK2U5X+v+vEib8V2l8fnBOoQ
KlZTmuhFlIiXfbwcmZosdT/zXv9Gpp8/eku4rWnLfrRnbXGe2ka59pfE+69k4Q50xGQFnWb2Op7s
9OmtVr6Ge0JD7yz27qnvdPweFL5rr5KmaF4HXfffGon1HfERPa1+YZWYtCcF47djAFJTjxsY8381
us9q7bgC8pLoTI7YMHoynRO9L/7AKoeKWL6V68rVsfUW1084NUZda6f2b9TMkszs6/fLwe9c2izi
nmg6doachTSWhDnNTC23FMjrOR2kGteUVzz8EmJTNHKMG+FHNRsxTZxN89D57BPgQHDKF2rM69tp
JyjhIheJe3Vu2f4pWtldo19nilErI4arY/MKshyNB2TI+ZaZWMTlIQ4GBPQKQIy4THzzdxVk0/em
dBKetO69UxCuTPSdrveKWudp/nDGLXkMEfehte+IJEmbgHLlLCH/8QYqsw9SiLfqhdZXPWT0mXqK
UNaV2SsmOMpPtV+0LzSRR1vWboO/Z1q65lbGhU24CnX1HJPEG6XtoKvo5MeLe+I3HnYmN6zOrTeL
D8RF2N0xvXvzIVDBfKtwx22XDSzRayS2qbwmOZLLsWSspsTVNeIyKR2zXjjFEEWHiRZ1+h0LDhkJ
WHadu2p/mLWif343ZXNjO0uFsjsFdEEnws4P1RZyq3VRAY2plqm7rCKIoiNdyuXvIB/2zzExznjg
N2xuF6M995BsMw+3avL2XYtm+EpaJWl+Z0L5hmSw1OhtujywM3f32lihHh2iGHTxnAyAwAfT+5oI
+Hyppg/Xty1jR7XI5V7m9DAe4i4e7VezC2dOu0bzFtC+yK/gMKqzGc5+41+cBQBYnKsp+Q6DaqKj
ZJr37WPLF/clhjikONkpeXH2dfndt1vy3S69Kk+x23VvhKfL96UX9ZRtvmg/aKIPZeqwcf/aRZ0Q
vBQm/cmdQp7SJFw2dRTzktCYuORDdTmBddOQ20l3vy1Uwsyysxa/hHIGXnSNRzKAD4CtDtXQxLQt
+EtvjnFc0+CFBKl9aQzBCcSn751IzVSaDy1rxlAKI7ro2Cr+MYd+Hfmr6dWO5oOzW3PH8Dyyy1pl
x6wF0auOuPPbFkxtGD+FXcO4+Fb7GVKwzjg+xbWI4yMF9sgLt220W7ZX5w76NVq0kwlrKA4HnaP+
tIfT/ufZiGLdgd+h8i6DZBv+jPlC0mkeLaOfgTGz1tjIX0B6BOUidEV6QhHT6fugQ4TrgRJPQ9lm
3b4Hj0u9NberI7buYPTGKkQnaMh+ZSaC5MtJD9vJ85gxUMAUyIDboZ3oHsbc91xPi+fwf1/7e9ev
mdtsvTvtaQf1lVnYVSEN56gGUmOXAcStaWnoKwY/SvUQLn8xxJslBQxxhgO9cd1waOnyBrAakuJx
tQTjpAAljXOxotrdDnSM0MsdtEk88eh48k7l+fwMqdKy29u+c8/Ht/qsjFw4pslX449X5zZgkbvr
q7fL5GFojTYXyPXrx7krXO8QkBHxpBMCHMn01qS+d+HmQVe55cIk4MyeK05LAmT01pZ1gcajLlY3
6/uu2u8a2bCqBVyDbRrrhSLuYReEd9KMu6mbaordy2kY9JoO8P+vJU+VRlmj4hKsQvYFh3HFC1Wh
laG9HLkXi2gYFBdL4cf7gXDiASozr3WRxgSP51m45OZTdko7FyVb6hWYqv/QR1v4r6RUauHcKrTN
Zh6gKA2U2p0TXazNfphyb33dAkERr+tWdiYbQ6oIEqaK2mxoBwTflmwsEyO68PcNmBc9bHO/kaEW
ZPC028i0v8V3kETTrxyJnAPhDxRCnu22g/q5GiKg2sZdZDaf0Y+6FXeTcqX6EmW1A0rKpHnNYegp
pY5EYjOKw+PHxNRMTriLpjJ1nHPBZmhVc5X7Hr5ebaBl0oBkhu4QMblO2QLH1/JL7j0LgJHBlAX1
IF+SyWWvdjFdPkP5uEAYo7swCC1Lk+omhpOykR4el4qR90Amd3PVNiUzBtXz63hYt3L98nLrKOa9
bbitm5YOHk/n4nXapf+E9ndv00DnCQir003TsYXtu9v7AACsLAL963+SIU3WZPjxlsk8iC7Xb4La
dHWkhrv+CfyG65TG9P1rs2J68G1X/ow9ER4sB37+MNgu5AjKe+9tVZLM3hX06TLyeu87Xzjy+Kg8
Y/Ci+3JYTDf9iToBML/vK4lbS1wqLMlEuZDXRvM095x8gEGbn1lV9yGjFMf+RiQt/nQwE1xkSWnm
VC2uqO9ILIVPKvS4vgw2Li16/53qg8GLpp/JIbOFaT38EQQ50iy8BPG95201SO9k5l/CtEzWpV6c
O1WfTxpTlvlTx/Wps0276w3kCO5bhMwR5dfV7IZ3JthlCDXTqifjWuZd/sruwTMiJNpw5b6Lo5XD
aopC53mMu3q8mfPIMxBM7RocikgBUxKjHXuXyyiJygpIWAkO2u3sP76h82HFqNlkA3Dqm7uVgKXN
wraVBhLYoyCaJLjkEnTBtdscItzb2/6pOScNnJLOs7cce37H+sF4n4ax6P/lopUy60w5sgqvfv9c
m2TeMvjyaj4lkgZV7HWV+zQxgjhZiMrncWb8nzgO4hLyCfvIgjPeOBNDdmFIgM/bYaXR2oL5ibWK
7JXEEfgTBzX9nq27yDbjIbG/16UWr4VbTxVU8DR9dk0OWrvSWtKki1mHx5B40u+Jm+cBpNl9JLO3
9x5HtPC0w41tQ/3GmSE2dedO7znIn3NR+3Z5bB13bm/yUO97OvJ6hSfMiPB/tTiHHp/zho/tPDPL
+3GVVKh5ZkF9++qXXx118AyynGe8f1PTQBMNTfno4YZdjpNep2ORU2adGqR8fL/WY6iYlBM+NW7T
jHzVBbNCjxr0y2kgpo/dzFGc2drwxMa9E/3TvmOfpV3W+WaIQ64ci+fGzaI1MJ/g4JHMZkTIFyHR
t+VVJZHHn685MjGHofcZ//oC3I4YGi/PgHX337VZ3Q/b0K6Vrl4jbjC99z9htAE8E/RM4GoNBfy+
qGiNUuW0cPhBEY1X7Sz4L7fTOjLSykgF2djEwT94jwC2AxXBmSxu8Vx1cmbNIjje+QY7ARbvONTW
rIE+9G7t1Dq/lJCjdxSU41TZVik60T0nh4yPSvDfA1ly/TOtmvbLoOT64APR0sKyobpjhDskpD90
nfXFRn76NYCPs9FNXZgXpqVOHQo/F07Wx7vwL6yr/Q8n6Ko3VKrlnwVs9oM4T7e8gKdu38a6Cn6m
vafYiaHHAfOHm/sa+lHemSQet+kYrIn7jXB82FMvrwkBoI1CNldOo7b3bi+m4Noru3w6aNQgPMgY
O//xPpoR9HCEJ65WZRnxUN6Mx7AR5XCcp0rezKRNQDeZTv7kfgsS4PZxfiinLdxOUbWjJqyWwBFs
DL2Yi7siqFs+M8yAyAzPqz31y+KrrOW3u+7c3oFLxpD50wybfhq6naFW5HMeZBa42j8GXWDqbHCU
79zsuZrylGCi4EN4BkaoK2JPn2oW2OeoEe6QJYEQ9qqaSu8VOSzJAI5bMhtEPRkuvXZBZ4rzHJAW
eT48qM4fFIf71r2ICXqMW5rGj3R3h+jJmcO1OG1Ct3+igekoqzrA6lSJIuA+89TwqkcT/MVzAT7T
NQuNy5Q8Y774LUkydO98a739tpkoi0j9JgdtWosgekCrOzSHmHt4h2qPqWhuRLBgr1tJhzgVFLio
i1yNUX3jcXyAPJejdo+UIlWvdVNY4J5gE3SBo0ui8K30gJUHHe6ZZxfUw26zN2/4usI2bcmzKPjj
034IO2/XKVckHMfCTfMzE6JLv2yQuNfh1uYNGZZJeB02sTAA+pt5Kfkq34Z9x2Rs6qTqM9Fw9mVr
6ZVEDnf9OJyAhIrHuTznc6gtdN+EUy7v+D14/bolR4Bi28HMh1LGs8wKMSDFkHnsXc01798nOgEO
SBl1EF2ez2HbMGbxcnbeNKRuBcRAuAniSHITZ5bYKhw13UCt618oTe4bt0GUH6VhiUhlY5NTt2pR
3wZ2y8M0No6p0mIlmShTHYDqZWzD4GcIxvK940gp+RKi5ap3GYkOMRoo+bw3arm10umrW6az8HYb
nKi7CNZurbIgaBHVMDmA1rju6k6HdvUEAMxe8PCUQdB/rHbhg4x+VTy1LF3vhp0Ai4/oCTjY4yH/
1cQFnWvuvkdRBvAPDQDVO90MA2PKqQVTbzI12GnBPutP9+6y9d9CiaC6MV4YXOK+Xr5DmoaPjlcu
4z3QPZyXxhRpOZTG8F+yttVfC7f6o0Bf3+QQIp3IBxJ9Mr8pmN70yGh+qNZBPmjkHijE4GDJUVqt
gXJYZZNZjxhyQje36TOqew7BpQQt5ybR0ZTVTTXzU2wRj76Oh06mXTnLtwTp0WepXPPmjFG8pK3X
mc+OkGj3UJereGKe2FGojPzjo7j9JeUyvTWmd5KUs9qt8UChO0E5Jin6VbYYKiKPwm5nd9tnnVYE
wAA1kCAPzDVEU5y6i5GfgavlL+qGlycpWFDTOV7nb88pOuYRlqDhkENrXrV8QEa6fPFvKkbSMFPV
OvdoVsitJuzTJ5h2HRBZ8Oq3wwV3YfkVyS3QxEvb3SfnaazCgxRBRLMwX6CbIcuNeFdznoOs8vwK
2TKZYfDnA4Kt9HwmY1rhB5bpRK3UbRcDd8LINcMbAVPqb2PWqUeFv6uHTjF5Hu1aDNBa0LvtIalX
aU6mhtYeTdiOmY0aySfLcYked6pJFdx4bP4MjdN8shDg465asb96rnVwrYhxe5WFrZ89u7qARu4G
C8f10Q8Zeg2YaRXr/mHV+XjfSs//NXVs+k/ATr7MRpRXfyzOuo+it+3LHDaM2CjAazRhVe6/lYHt
ceDbyr8X0NzlZd8V42e59mcFIjtIk27EuOmLxekaka5Lwn0h7FJDJ0EmvoYhopa6JOYy3cZO/6wY
Lv6ErKAF84bP++kzJDBNwHElxz7cKp2N8178crWLmGiA0Tm3apTQFUG/8T1XLfHT6bJ47pPxN/PU
Uk42AF3K+hNFHUuI1etfg7K4Tcv5/BTPs6z6y31out89hDAPdKJMlQmAASeFOyiTFNAJKGoPm/Ku
1EMXZZP0Ju7hjT90Gku5lNR7lIDjyhFWXco2Rzg0F0Y/FXOOxKI+C+1TKbfSokdbxG92c/XgB0Dd
fPO1eBgmXTxipyE8N3c7eeW5Ggx4OkuUeOGCgIDIpl/iQwSo9gaoOHw4xeYFx8hR4LLrVLn3aCa7
MMNXAnDFvhbCStduZDPOWcQbjF7dk12oiDmI0ecHLzVU8oFXAJdHgWLvtyj9wRz80jqXm4B+5wwv
zGc8BPlrwBTD9xSK5cv1d1h+DPEVNTNuYFnUxVa+uXkV5NdEsm4P3UhizIlXgYMNaR53ZR9QugcD
u44Fk7s/gTe1Q8hVYfvpVkjOljTShW4OWslxT0Vo8wf8Fuvz6sX6a5VaTpcumSE3nYKKZ3Lrc2hJ
GXyC420cf9FUXPY+Dnuw2Kq/cLYRZY+RYrjho85IGyKvLDOL5eqn4vnhbyDD/TQ7bfhvkKUKj2Ja
u8/z8cCWBudBljeTxFWUm5ZYQ/jSjzHeXPwOpV903FAiBp4Bo7hXE+YC5DFhfr9Hika/HSAOLUK5
9+shyftiYCSS1fVOsbOfDTk6dQAM1B+nUdjmvkl6Ls92bDePx2fyr5sAzonMG6dX7FBh8+xoU39v
/R79KdGDI8gsfed93keWokCRuiNNidqm8Bw8hsXi5Izl4eq/8xTWt0jxv00+qzHzu4FpL6qYz6M9
9kiE7JRzWXsDeiazQ3JyYNdjeaxjRvZ0FWyiaQ1dh9go2bwrRDllfCTpjm6msBP+Z4cYjtPK5xqu
u9W5LOeRVwLgP3mcvcF/HECgu0O++dvH6HFr8vDJ7cvrqBtK66YOb9YZ7VfaJX31tlnoMjCpLbjD
g73xhCOuLI8Lwr6JbKhBss1HDSxGOLnONT/chFajMeK1SUyBkO0sQOwDGocu1nGtOHDz7mPCRPp7
8+f+vnMq41/WanBOnTBaXnC4jk0W6V6XEtUEkCB1QOAJar1uOvhP98wkoqmL0whH6XppkqCFb2ir
cOYE8gB7KUrB6EBWPvT26je8T/wI+YSOSQchxMca3zVbRaPZ7AOP32EqAz3oTBNGdMtM6HOBJUAr
uDdKfVyHSPknmoKAtOvFn373tbf9bB13EIlcMM6HWtvxhfp1oW4R+lY3NadFm0XbeauCY+YfgVym
KtKI2es3OaTiBtciNHa0b/WnLOX2A8fH3zo1c5McwK1U/DDJFkCYhsOdfYD8W1jXLg6md3xwQ3BT
Bn31C9GB1gxc67AgmakEmhGDlaXJpgEF1mUBpDbfYqed71aE5ksWA3ftlzQkDlX5ANdqvFcUFvsX
g9eKHt5EMp/fdNFgBTlORHBFVwIq/5OU7+23KXyzXMDJx/0hYStGY7EI0iHZrwG3i2gXHwmRaMR2
xWFyXy5NUqIGK2OG675/maHxEVY5lfMlkEd0h71qgvyIOCRBGsVq2h7kjEYIpvv8AsjFElbodfE6
ZjF3SsiEHaE0g+lLXnU/xk/74m8OZOXOx8ShPF6gtN3u9nXegd92ToYDxMjyXCCaXuCH3GYE04yb
t4p4BP+w9P1E6g8qQIbMprVgxXPAkTO5DUt/jDDERTKmtUaXIsoGikHw2MDfEuPYDHuUX45gyxUh
RQy4We94UIZQcF14InZsIJuJKLX4BHLfcDf5HtScREZOZty0sy530+pBWlHW+sLwuK3HkgTVa8Jk
XBAWpxOC5Xjm8d2MQ6rCWLc2TxvL8Q6PCOBzRSo4yzSCkwht1167n0HjNfiHO2I0SVtdG3No/VX+
LfeOM1BUtNGkwm/BaJMaDXC6cFg/T2pUvxAm+sORrd68rUXZlleCwRtuoxr8p6jwSNgy7sATqcNO
u7CGrnu3Mdx8jvUavxAXnCA+oq0oP6pkx9K5+56+n+LK+1P2XhQc6to4V3tQ9MPDlPTT02a7wEG7
EaNg78+jfZv7zZRJZ0EVxkQucF534fzelYo9tyYWlEMeEWd+ABmXTxwHcEh4zJDk+p0SAvGbWB45
pvY18+sGjeNQk2i0jf/fA1Ina9o7vb7jaIQnRkeU/8aJoS4tyarmgOABehCZz/hh8cfNhxHB23hN
b4rzrzBd7F84AowvAyZwuUqckAZJDhcRH93NZ/0keFz/bQtv3hiom+KNjN31yZbTyg0zhMXnqK39
V0TI7E7NlDRfCZf0dAx5sWAixjoeiaCpI3ShlpEz44mH7Jal4L3BxcDgx+rdfIPRd5/9EFVb6hIN
/waLC0azzdre9f2WfJL9gpoHxjgYYQH2GsmyL+K/qm73r4rdik/lKjRtSxutMqurOtBnOi9YM6eK
1J+KbFeKe9wdu70EqYP1rM6ejnlNEIt2/d4iPnEcfvwC2u563qynUyfyNursBylKVEZ1MR3jIUF2
zd1CpVJcyL3IIGTHe5rHHHuInNC5DYqOsoHK3VR/wfzYvI89pzJDHNKjxRs4+hE8tt/ITetHfK0a
nWHlteKIIjx/1JxPZcaY77KmVf3y4qEV/zXA3bwGITyC5Ha8bXvlP9fKl93TWG8LUTtJtdpLL17N
y1zOMzGo++QTAzQonV/Y3q+fl8GfQZ42i2nFOjtoI7MLoam7FzfxkS1JhMdK9qyLZh7D6eBp3ppj
oSvD+ZhsU3fVSeMt2HE3GSdgqwHnQ+Br/ucSO8/3UO2DyMha60k0qF1bf8U9wokLIjLW/G5lx0HQ
FeXrs0E39yNZDfip3XOYS1eAteeyRE5mUcAgb9CO+tomk7/mTPp/CYU6w6zWbJKDgBnwiBXH/8AP
gtKjxR70MVaGi3zSbnIxqq2BZcUh1F4a9J3P7CoDxca1NyOfDzAHbe4+utmscCKmjecphcIEkOSQ
59hkmCOj6BFsmmkzwBVwU0/I7w4VFZMx5MHC9YS4xn/z7Fh9mRhlb6YU/ehsWs40ZqMT549dLdEZ
Mfkz5EK7ls2p99vwRbQeQp6F0JDHWbh6z8Y4X7YU+xtqpiFy+tcmquyfeAndlxBCyzm6+e6IQ5kk
kBN0QxVV1kwto6kSfvfkxjp+pr2x/3DEHCBY6vvCyzgPgQ9ph+tusaSJDl/z5H+SJ4/gEzluezVh
vFqPLrnvOuPf47zmeJ6v933r0YgAoP6dm6r48EDTUNSOpq1gYnnEqLJvhUUpuJ51lwjcEAcggX/P
O1vKA4qkHRo+iocLFPb8SR9tXc+9B/vGcIwkP118ctKOxaSje10HwnBUKzcA+6vr39PQVK9J3iSP
0IYgLlue7+IMcJk+jUOBtcVUknHfcrJ9MjSwanioLFPdY3ZIMVblX2EJVHGak7GWB4sWIkHnpe21
3MOWrAvnfMPUzqiqo1xLYFmFosM/um0cPZz3zoBDZdmv5n4upixfVrA98pu823nd5a+i4RRLCbis
aCBiLTnF08A4Q3jz9G/D8Hdbja32DuvkwJdXMa4CvmkeyCzQY6HSdbfiNwZEfmNjiUSPq9199U1E
VMuI7tIDGmNES7em9zDeNF3ypJt8D1KW9ZKhIXddXgjHE7+2yt9/5dW6uAjCzzgzYXDLp6xnf8z2
DRwm22mgyM+5ghbCDczosbVDIZDPslan1o/cO+xi032cFAiOI7dlsi9kpCmLSobNcNJDz3uzherd
TbPlJ4SisrhU7pw8ia4kRSNJYOxv/HWDzYAOnw85x/6MxYK7/sqrZSLSWdOlrLtJsItqaPcjy2pX
Y0Os+/7Jsy6yADRjMyaa3IHvwiO3HEdT2uEwOcaVWbxjgc6Msyyfq7+J7bgtk1ufkjJpeKfKJGTS
QoC6I58rivrgAglWf00BMHNcduGuWdtjgGcwsw2Si2T0qmvyx5L2blur+DGoGjUe/HVX2LR6NHYP
WH4gtRd8CnwZo9/+dZvOnU+23HNzsAbI6lSUDMYHl29xOuwc4swWNSwVX6wahAsq5OXP1RgxS4xU
XwiEnitDiOVd/VGdoVC9wvfx3GtLwstIDcAdhQj6N5pZCQnZz+HdGMA7Z/5uB6TF8VCTxShzF+Ut
J1cqIFLu3dxF8mJAUlHibciyDwr/0N8+H+yvXrn1g0SV7pwFg2DHoLERi2g//IvzleUPXBesEPSQ
iasOIGx0pJw/THybzlhROkbQdYof3MEf3YtcxvufQmzOHRbT1bnBTOb/3QLXP4MzCnkmXULFFcBw
ucOPOt0D5gLfRcPvLyU0OwUHGSIg3qjI1M5TSelBk/XS4QdbHSd4XeYJWnlcQujdxpmTKysKvV1s
/N4vOze4uZSgGVc16MmT9lcwJDLOllsEEdySPeqTe6YDrgvlzP2a7jMgxkVcjRMAloeb4AVMUjGC
9KuHXqpr4qew7RHDct0UD6NCSZyufMvvKNTXh/OihxTHUfjBhOjnR3yS+XczgCBnq2/YMKSJFTIR
KlU+ktLyMhdDaSP0WQq4oq0J1j2Shie/FWAbybDeUL6WstNsvk4yfpAzFCpAtk59F+44oYLIGyAl
3NxqQJPeDa9ujwKAQxb9hQzIPE6rmVLyA2+x/ZPYcF+Z4320IBtQbYAKh7ERnbRUz7LCy5DBQoVf
QTxFT9xBs3/q8wKem0d3Ojq6mBjxp8EfsvPpbE9eDbhzrI0Gxg7iHWFkGbcPZw2qPZRmNHdMLt0c
XhYw2vZYSjceiZYbxd28cmteNn3vX8VgIl4aEzDPCt+bwX2YMQP+nXJnfwhxi+p0Q1ixXOod/O0R
71lOtqmIer6bUgb9kRYvHd3uOlTDG3uB+I+z8+qSWzmy9V/R0js08GbWaB5gyrU35CH5gkXykDAF
74Fffz/00b3qQtUq3NackUSeNlGZGRmZGbFj78+CRWKUMlAhgs/XY265TV9IX5NsUkXugDyPflpB
3Ak2zy8wir5E09S2KEGN/2GgGmpRcrEyjSChkBoDZxuQhAcAFI2fQJd26G1YtC5tlIJeHjtvR7Ro
r3dcz1wC78kNEA+A+hO6BhGSM7KQi+buRBo1qwT4Q0FYlb8Jbe7b7bFst8axHx4FIYHsVfADlq5p
3eTYStvr5pcN37N5tFppxzehsaUKdtprTQ9r1QBbSW1ar3gOJUCZ250ISlChu7N4oEZh2ZOmBjfV
kAALvm58qSqGwBzWZVGk6qjoM3/KqXV0wnSN0l1mH32OXK+SfDZSiiygd+RVEQFrIosW0JlN/Tzi
RUWPqHfMQJtwiSHhXerNl5VPtOw9X36iRUc/gGe/rFKWI8hV4jAlTDcOLNnhqvS55CpM4KEWXtGN
5iVNr8HvZY7bLCMDIPcB0PCRlAN4EmtlppYUAG8fCxHDmfVWUs6YxcqBCN2qPImzNCDdSu9cALAj
IRt5rHM9d6/PwpIbYrY2M3wYM7spmJgFTUrRqxky7yBBgAObP9TIUIDH0S7FtXDQhh8I/corJDqX
3BDKPUnXZh+UtAX1BQDJOj/W1OFpB5QfdWAmXHMlsLiNOOxBz1nbIqN3O1f0j8k/zBKHOkhjffZA
7EsLDzRzOhDBv1DugwiPlivSv1HxKVU5C/ZkgihtX5/a84Ge2lv416gLNKYUBY2Hmdjzou3HuxG7
N+AxFLDiZeOWZlk+W1oSbK5bPvdsLEM+o0FqbKBHNX+yd4xj9ajlUqTi2SgkiYcAbCsHb5F/kKvl
bT4RCcRt6MggiXNqBdORYpXsaKWXmoM2Q9/MVDpQlO9fDPDWK35zvi9g3yZ8UD2mIMhqnpozVcu3
UgFPrRpOs4bUsEPG8Q+aa6Td9ek73xMqPBsGauSUe+D3naf33fTRylVVQ8TZ4JdyuecGQy8W7cOR
A8CTruSKdO6K7PpFiwpETHTA05qwZC+UeGGXacueL0Kh/+mPJLqsJp4ziVV4fISt0VzhGbnkIUgn
mDRCmNA/LdnFexQhVCq3ROOq5b1iTUVduIVRd9l/4IpIEMEJL6kqq7aYywgwOTcK5nIqjRKsc2OB
ORrKFSuX5g+6cgnwFCooYOJPV6w3wOkeQ6w0IAR0WgutaReHcuUN5Fip4JMLu+4il5zREi3QA1zL
iGaLHabnlRaM5uwiUmc99RnEIM4QBIbgtQmXmpVIsiQpmneapRgis6jCGrGUKcmtNuEOTOdxJQXp
94iCHvjQI9CVqbg162yWJBaa7vP1IV4IXxwMkJBJxEqE3+TTOZ18c1I0QKI2nAJ0dEqGv61H8q1K
Gm/KxDfJQijqVlUAPK4M98JqQgJLtRlOJoKLuriodHKUh2bJTq/91vwq03gdcxZL3Q6xsnYT0B/t
XR/qhd0wX8iQZlEkjqRlaKl7qwFjl1DLAh7qajBbblpBWVMlv7CKhgyjmy7BUgT182JY0NUEcTbv
OV8+SgOo92Mdb5W6lsSNlImgkaNYHB8k8L/hSkC7aJmDgBY2xALhSz9dSh/c/9CgBmbHZss7mmYY
3/Vr9gZJklr6QWwH7NrTyumvGL6wTbAncruA7Bp82/zB3kXSipZ3gw5TJvZYDIc6EzsPJljhySKD
shLRLowR+j8FARO2yiwXfmqqTER56rWU7nx6/1yhAlo2aBWNtxEFpKcCmPKXo2St8RVfGKA1c8Oj
H6SRQREXa0rDNBzMHZskkiDQESvgSLS2+NtApEvhw05qgfmwUNlA9gYSzNMBxjSdk09igD6EQK7V
gGPqS22N7+18K8yKCyIiqxqMb/qSElDsTFQ8SnRgBAgEHo79ETxfGHcrV7ELVmZuPP4hekKhvwif
Lf0qaaZZFKMNMKKFlGmgdUL9w9uaWzRbToZDURZhPzudsUEMu4HrOyALQCPpQwW5Tu7mldCs7a8L
wyEwS7DZixxyeMKpISpKapCRP7WnHmbSKJUrB8DiCuPweVR8kxSFLwuJeK4/i9HIXFj6ISPJyXCP
B4JnNHpRDf6jGOj69+iwLsavH3U5yHgRawSirs3SKou4EQHrJn/AjVlRCp5soVlsinEY3OtWLgzM
MImLqsjhpvPOO529Hv7WoDqWPMWtkpJhEhq3iMnUG9NoQ6cYgjVxnsv2eAIgZMr9bsmK38liaxjk
dYAgCDX1P+REqa76AZ02sRjnT+1QKT+vD/GCgzBEZMw4ZeD8P3t6w49P1woTOYZZROduTnUhb6aP
+zucPCTGNGWOutaC5NuqdXrcaTqw20T0H82Bhqc6Po4r6pXn9wJSURpHicFZSUv8Yu/6egjd1Eyf
qSBtB1IbVha6ZvoXIPvW1upNenCPwUAJr27S7fVpvLByXLfgC9TQKpTIpZx6SheJUVkiWGLnuhp8
oQVI+0JrnlpvkhzaDls/AinaXDd5fqwgTMFUzpUcTs/loR32cmb1qGjbvpJNWw1U1rdEoCJ5K8g8
zx99OnglOy9D8rnXDV9wGRNaT5MNaLL/llyz6F5ygYVv0O5gq7qPNTW166LoP3yPZXgWvJcyDVdQ
fi/Or7wY6OU3AX5ZiZlt6Wv0IXkTMoOtkCSptuKgl1yHo5ls4DyjgOZO169VkMQCp8q71ByiLdxe
YOuSSICV3jfiO/gIxzuNpN1W4XL9+vHpNJhG1EZM3EebXevdTcSIyF0Hugb6HzDTowTnk5fDqbjy
Rr3koIbMm5g7pMZTdXFnhvOpUGCcB5msHw27BrDwTRlg9QR/W+7oE6l3/8GoeEpDdMuzh1B9OqoJ
OpWcFkG8U82LyKXLvdCBeUGSteKNFwfGK3++fPDf5uKtDzMVsFAYGmBw8ekhQBmYgkmdW0OyO6aa
WD9PdP6sZcIuGJ1FUnj3MJkc4YuDYZKBKRcTfTYjim3UqGjhGsHB5/DaBGnqXp/K85sczsELVeOd
yqmgLGJL2h/psoVWh5aohuYiJ5qGMvlC75dRDnSIj7289qp700U5zQfPkim8rEzmldvDYvWG1AoD
ndKEbbHtUi/qGvGuH2AQs6Im2/kmpSMpKuttCDISDUCB8pQdjAYFwRSOvBXXvRBvLIhPCOmKTmxf
Xi/DHmQm6lA52Joq8BDSBcIXwBR/fZYvj/mdmXkZ3u3DWG+STvRRv/GnadDtqp3JtZCKVDUnVazm
QUtDYS/21NfMBMbaIqEUDXG5iSpPLK7oVF3yL1b8L2EFIsNit+aQyfmGypADsOOOClr1l1KVRyBh
YnDoat5o1wd/aYpJfnOWcHLOom6nY1f1CW0KaBltQ1NKeNfoIDLGtF8Z1SVHNhASlyDHV1jLedTv
ZhhksJoMLe8EKPTKr34cUEcs5eA7wttrV4GLA+LNNTOUg+0VFxMIOzIAAYkLR4WIuOtXIAIp1IQr
F46LVmgqIfCQ+yB+nw6Ivia/kJFNRSY4iMwNNEVq6/LSogP6+vpcmjnkezhaSbyTfFhc4ysu9yZN
rRgSGnEjgEx3jbwzngo6hl/+E1MQP1vzxRoN8NMxpfVQN5bAIhVDUzyYfhNS4TSB8YIm6uNP/4Ex
1K5IwXHFlpavcOhsQtihufB2FGA2bdsgfAlC3O2aJN1cN3VprbiicQBCx8wJvxgXGCZVr1NSN4qi
pU9QWZj3utmZK7Fq/i3LwAlJsjGnhzghllzMWdLpYzThd1kNbtJuwYruCY7955AM1aZo6fa5PqxL
nkGyD4giaCVqWIvjT2loGk91SmfwaWVOPNEeV8WIhHGvD1cW63xsZEtUnIKDj0zGcmy9KllJDaZ6
7qautqFfPuVmdQAqp+/EKupWBnbBmgnvMvIJaL7McLNTP+xbRUBtnPK61gv6IUgt4RVpJ1p3pHZ6
hKLPX7lvnvsHmXUJ4RzuETKdrou9HIk6gH0hp6mdGvvXQppGcm5y/3x9uS5aQeWQbUwqg5rn6agE
odOHCXYmEG0wsKpdUN0D4VzTVLowd/NdiEILjwOSzvPX3wVa0vV0R5ng6rNu7B4lyZ8hE3T9HtS0
1/+QSz/5/eFh4YIkmWTY6qnwLIal6EkVBSFPAhjGuKyn8p9RZnxQo5rEAu8BlbBEQOfwWF4pZQGy
iWzqeN7lCiy6NdwxZJfVzAGKQYOayJqt7Obz1SKua8hv8qbkirksCJZdQQdOZ4HnS8r21phi/05s
e6X/cHSnpUI0UC43iO6yuYjuZgreBwDIEWaMJvfSY/prmqFmlR6vyWCdDUhXJF7ghsgTWUa9fLGp
YPqthFakEVEqx+hrmguFd2zCD+fnscLTlOvELJbAgE7dDyAoaG8DuuGKNtzSPmYmVDj92B+Vu64t
gO3FtQWIjj55Nj9Ml+VqnezSOOewwYucCELF8fQTJLx05oZf0EtVAlYmqpTwVo209KPnP8fJrLHF
wczJTGg8NSNCD9+qcxqPtjDTtZT+VwbIeHd9b8137ZMjhYznLBcy18Kt+f9PjVRRVldNrX9r6REu
cuFJj3apaGxySbZRvOGCQ9MXeg0rPnmWXZit0mxEWledCYMWawiWELbeQf82tAcrNG/TzpNz30n0
2J2mL9cHuDRF7lik+oBIDhlXOqAXwSOCV2ICGkpXsD4E97Cd+E7bp92NAN+6J+r0qZHZC73rRpce
8maUGj81TZkrxjK1F8M6pPX5ENrwdxyf6A9IvMkcTfe6leXp/JcVkzuvoszCeov9RhE6gA6YoYW0
OfWASoQ5FQuLkkNf+Rpg4oKxWSyEPjQq3khkLKJ+lefIlGkzGjH0sdUX5jMHGifm0PgfdHzGdWJq
4fia7vvGVGKK3sSeJobU30Ku8tEr22yFzA/aGOTViCSLuNi2UgjyHnZGgoy27akaU2ybjM31NTr3
BKqzdEEQp8g2kR853V90HEyxptOc6EdFwSu2DmFYTD4aean8nFhZ7GIeJHACDDweIQT1bXizvopH
6ev1kZw7AOkIqFkR55irTcZiVYZEaORggkoN0SL9T2mAzyGhQXfmlTDWpJLeXPd9WOKCgTFSBFRL
qC8tFep6OBLUsaOKRRUdFhnujALN2kZ9WwlpeQ/4Nt80etvuIH+VnSGK5T0suclKbDxbO97IaJ5I
oLfMuYdzMeK0hGE9DY0vVkQHQAnNojPox7Xb1EUjIDyYUyo2urg0Au0LNMLB1+NYppanlIp2yNCq
s7YfWr0ZEaPyEKKEgiH0Txaxok2SwQr1obcRwwtBLhfmJ3hTaCFV43DljbcY0V+muOUi1UoNGznD
U5dXfCM6ZlxubT2l+btmgG6bCNJakBBP7VDQpbjFtKkKC8QpuSwu8K8kQQqlp5v9w+Zh5242tr25
udtsXHdz5/D3O5f/dl3H3vEn9+5ms7f3fM/dHX89uC5f27kHvuYd+CPfvdnvH9wdX73jh/d8q+Ps
+W2brc2v5NfP37LJ+fn96+Zhv+e32fw625u/vNlvnG98Cx/BduZ/w5/5i2fbzs7ZYZfv5Tc+bh/4
9Teuy6/6xr/Ze7bn8Ru/uHf2fv9q7z2Hn/E8z/Ecx5m/zePn+X3zL3Nu+cMdI+ETPc/mtzvn8Nk7
zN/qHfa259w7Ln9m1LttzuAdPt3G2906zmZ/t5k/KJ9ty08+O9/5rTu+9XD/stu9zNPERM0/7d7d
pfZs9sXhX1/3wbfE5b939dmKLQs1aVzVKrClp7vNw7f95pVBec53Z3dwXlYsvSV7rllaBPemrhK5
wTc27tOXHw+B/WB7X+8d0V6xo8zb5pqdxe2iLuuC/mXssERf9s/PrLPDfLMku5s798ZxVqr9izzi
+RQuXuS+1JQxTOpPd+63V7yFdbq+RiBcVoY0b7t3zzvw2fQfwY5093SzuZkdenP39g//+/Btw954
wFfvvt1tvt09lDYb5+7bN9bSvt3iWPvn7X673Xrb7a19j4cdnJsd7vz19vbNHW9t537HerPz2Bau
83Tj2OxP7/Dk3NzgfYfdSghfdYT5VHs3GlVE0jJmvtwv7iv7hhlb8+q36/41H1jEO6h2aGLExM3m
20PgsS3Z7g/zhmfanvm/vb3lT/OuDmxGePi9g8vT/u3udrvfvf30suYibxXxax9oeaQ0phKns1M+
7F8fNs7v3T6yN9vNPOl3G2Kc+3I3h0kWhoXwbGKgM//Vfdi8uq/75zv3S05s29pfbn5s+AUM5WFr
b18fO6bPJYo877f4nXfAzwvbu/8e24cXltp1Zdt9wiG+WfYn755IsnHtnes9EYcOd3OAue6qbw/k
a+Nc3K2OuTAoEp5KwL6zvxBzO5vP/XW7sZ//iswMjyB647g3Gz6ER9y9/gmUt3vItY+wuHhNUBuO
/TzVXwjvd8zC3RzX7l7cB9e52e+J1rtv7BaCNRGfU2LreSXhdbNhzjl6dvMp4H5hcTbf3P3DAwEb
v3l4Dmz7D7xow5pwSngHduEXovbBfotl++3+Yf/8ax/Yv57nX/rj9eFbZL9O9o/A3hPsiEMPz/z1
1y+8kZi/c+5fiLH879PuxXvZ/XYI+bsX+5VTZLDtwN6yVf+4vb//4/6w8z7tD7s/X544KZwnjgPH
815c+/stB9Hu6cZ9YYva3uFwS8w+7Jh6l1l9m2ZG/pvp5nDFImfL7o5z+e7G2Xn3bPW3b/z8wr+e
g8KLe/P05QuO6Py5siLXoxc3t9P9jqxSLhgcMZySN/wH393euRx5bH3bcQ9/HXLOih8gVXc1aCJm
d2r22BlGl2MWm0zH3QP7n602W51P79JmF9k/5rOecMm+2Nt8I9Fh8zyfyiw0C8+fnvmBvX3PhWDD
n+af3e+39/zv7oVJcw/O09vFhmndzKcmO+qenbt/uy7sDgc25Ozqm9kHHzZzOA3tHS7E9BOtNy7x
+GZeRnf35Y6bjrt7cPmZ6wswnw7/3hD62+UPRM7bHRNl8iVAdMpz2D2zkAboUIYYF6KaW0Wc1nBU
y66Kv8wA+pg1kakiaItlhs6wA9Yk0N3YadUuHsrxFnLf9l5rA20bUseg4X7Q4Megrb4/om0Hf00b
7DXo9Bxu2mvvr8Xb6O3j6CA05pcRecqzMrGZyTAbw+CVj0Ni1+oxuRlgmdpEUA7cXZ/gN7j+cobp
XpC5z4OpJGV56mqqmqLIMXK9DuPqtaXnGkZTZTv5xx1KEjstr761Uf+tlVA1VP2XTGu/DAADR5Jx
ZXPcIxe0Vj6aw+ziA5FfMcmzWDLdDUsQN52vkKWYKBeJUmUpv1Jo+Y+HrAZ89gileXbcHKMplZ+h
6o1+ThEiISsg8guTr+u6IoIgB8cKJ/LphPjVJLewsnc2iH2kFfQ8d2nrKtwyjJOVjX7Bu09MLW4T
pTTK4Ti7Xdjowv6IQ9ySI2xX7mCXrVg8nWgwmFMUpwOqYBvxs4Q91E5BuJGtQdgUMhSg1x3pohWy
3RLILLAh+sKPLMSvEhhx8aM8jr9BVlPfC52gP1+3csk5QOCyJShbAalbXI7AwQZFl0J2c4ykeNul
XJdp1JUCL1CD5lYsINuS26I4KF3cffq4aVPGIcBxy+cbBcabTOpTGB8UaqZ3g6T135GrEvYw8GiP
KWS/MNrq+iNP8rWWjfOppZ+RNDgocnKchITTBRR6EDdCFUOrZqrlXXzM8l1o1WsgmPOpNQFmsXSi
KZJ3X8IoQrHsdLFIRxu2hGdR1753qvnqT/qhg1gPKv1mZ6jVyuVyvjqe7nUKxTIkTlS/ZTqnFldL
2sJ7qiHZCCEIHFJfrAK9ll0hKZHuwPxfhFBp1wHYGJjT48/Xl/P0ZJ9PFlMinQDMFFQMSOeFaTDN
9PgfMW3q9Mkpgx97eRGWHhKU9KA21VpB6NJQVXAqNEwBpiWdcbqIozT5aiBDU1j3sFDJQxr/kQSB
v6H9LYZzwih2SESsyTKfx7IZpQVynG4fPGcJYgiRgIavBtpreCYF5yjmgntUa2tTQHvqXp/Pi6Yo
pcDNAcU0J/bp+ODPnZDRhvsPQude5gARj6LnW1GWbqR4kvTddXNnewIpZDCuuorLzhDKxYktDFDa
mBqNsdoApZpQQTtaHNGzvW7lzEnmBkJMzMgMDaX6ec+8e+5ZPi/oCWpQ+ItTs/a4m8eZm+ih9ict
+yYUtUWsbq6bPJvHhcnlPCbwMpgITTkwcBSupB5/xYbUuGmZdCuDO5vCt+5IkKfcroAT6otzIZzG
UISpMnKCsWz3UMilDi3b2YpfnFuh3AQ4EvwZRyqSOqdTCNl7Fxsl5DHWsda8MuwmiDT1aXt91pa7
i7sLu4p9hZfLJgTxp1ZomJeQ4gSA3Pq++DxYHVqWQbsfFaOz0YUcnrt8XMkYnplkxsgnz910czPd
MhWfSIYyKDX9rVFdSe6ArIzmWHkjPEoQXj5YZjPTCI+Nd32g8/K/j5jUKklP0mTztqfJSZ4ONBn6
thOP6HM2m8hund7Lt8qd7K5VnBaJIZ2gcWpnceZwW2z1MsFO4X77nLlIotl/Hh6/Xx/MW5r42miU
09EMeh1CyIAVeQvO00ZizZPuYd9zkaVzNA9ElH1T2QdUjezxj+u2lzWBsxHOjvt+b1fHRK1mpVNh
pzq9Q2+i/dO4Mw4fPVeXMzlv+Hd2hiSDpivDjvrkb0vYjj7TZ3bwV/xieXovrSyOF1iS4kSYRzNt
kGxz4HN2MqdY2ctn76SllXlPvBuLElWSGs/rdVd6P47O6y9t+/3zy5qguTQv+zW3WIRd+suSUYow
U3p0AznQQtmf4UB/mBzjE7Tq+xVPmH35mrlFyLUQEid8YK53fsDFb//M7MNv5+XzipkLAeP91l3W
TNI6qw0Y2udRQUzqUMNzkHJ0TFd3v2+/1u4nKBzXFmwlXCz70kndFVY42+xcHnZssMj7Y7J/froP
7cfa/c6bwA7teOVgWVu/Zc+jAneanMzrNzo/po24RajUqzfhfbT37WTb2isTe5o1P4tV8iKKHFWo
LWB9mAcZOin/qDZE7KTn1/x/eTYv3H+JpFYFFCJDAGX23Ghodz4dqnnVHrqjsTamNV9ZBA3TiGsz
mzeaqX1p/V2EhEUho0GbHWGIW8MBLtKO5xO4CB6xKcgaPLB/TWDygHyWa2yQ5nU+RW7kklUeCcSi
/XttlIt0+rnhRTzpgxSJpxLDyot8qD/n9+VB+eE/UgVGDaX4Pr5mh+hBedReVzxmbXoXASZohkjP
Z49R8BkIsfDPbsctz/Ftwym8zAtc0zEdfSVInyVblg60iDSjnB2Tet4Y4MI20U5yX1OHxKpvF0xv
vpHt1XP8UgAAp0Vv5UxiQHvdacSuj2aaibPLlh4SmOwPxbW4OaiOdZM6KCs/1Y8IjWyrrXpr7Vdm
+VJcfW97McvQ/I0JuBXuKm7v6Z+TTbjpN6N73NR7ebeWM7u0pMA8wJLQ6wBWcfEgiNEPiceqqO0K
UR5RghQF1lB1/NVmlRtPT9eHtgwEc+GMPiYZYCS9l2BJT2dVbyLZDxN1cgSlUTbQViJ2IVUR0rfj
tBLC1cXhhCkabsBf0hpuGtCVnppKTFkf5A5BUx/yoJvcyjLatJRkJYYuZ2+2ogIs4jUwk5gs8yqq
NKLHVMNC2UCW8gAXuHGouqR2xFFOH+IiTT/RYS49fngWyeDwrOLSDjZNn/3n3W0ih7+qqgsktNEB
Lzzo8ompapM+oSKUrPniHMLen/EMkDcciRv6IzW64hf7AJHEarIMYXSMrMssB0qy+hOcvFBbVlqu
HF8TqWvg4U+NorcBHNSCDWV1+pjEo/9Za7Imh9ep67p9meryEyDfEunHKipMuxCRs7w+L2eXb6Bw
QJbAIIAytxQgRacTo6JtljWGgba41HVIwQlJMBINkRII3aHWfRpYdK0b4g3C8933CkDYz6C2AtOV
AG1Nm7hQ9DXioeX9cv5ICv4B6ggGfuQlTz+SAHdmJErF4KB8dUT/QZFtNMLSr+AxNIhki848jIXM
sRt1w0rUPN9sCotG1wD5YDL0bxXmd24Cwb7QjzTtOlVjfivB1H5q4IR8gAh9rXnngqW5wVkHHUlW
AYj16SCDelYituQJluNYB+FKC7qbjzEk7sCHfl1f5PN9TQqTnBdsTrTQikukZGCIQ5rDMOoYMBR6
TTWgu1kGK2/Us0cOywbZhUKnDLg+joB5xO/mLqA4ocRT2zm+EPr2gNC7HaeBYuNQ6SFqp9wzEj/x
ZDFW7wBZJr+0dJRWItj51uMzAIeem8hB/y8zbePU9UFesrtMJDZ0L8h94UU9irRqWA0UhXtUJWDY
+/DsznGMvmsQ2BKZ+tNxp1qYKnniw39U5xATjupxk6aGsvu4FXrO5mIBUFAITE6tBH1HbWqMO9j3
kFmHoBLxh3wUPzx/qqgwEInM2gxPWmy946gcjQa8rhP1RXaXqLXkRgKkgD2k7m7aDv7mo6OaobQ0
ulABwXPUhc/Io1gnk9wg2zNFwSHOhWnvI5W38kg4DyimrEGlwaAouZ31gkDGQklvNGvHEKLMFUVo
CRO0c3aiqQmemWo9hP1D3e19of4XUv6/fg7/HfzKH/8K+/X//g9//5nDwTmj+Rd//d+76GfF2v9u
/mf+sf/3bac/9L8P3a+qaatff7v7XtR/27TZn9+bKM+WP3PyK7D0r0/ifm++n/zFy5qoGZ/aX9X4
/Ktuk+bNHJ95/s7/3y/+7dfbb3kdi1///PvPvM2a+bcFfKy//+tL+z//+fcZUPtf73/9v752/z3l
x7yf7fc/82r5A7++180//y4Y2j8kmplnDOjsdm8Hc//r7UuW/I+5DkG7hkLui13Nxsryqgn/+Xfp
H6TdFHhxScvCfTFvc/bW/BVB+wcVhfnoAL3H2fH3//u5Tpbq30v3t6xNH/MIFVl+66nfkLWBBIVP
BdBbNrnWLiOaMORteJQnAXXTfNMax1cF6cAq/Z1p6g5Q4j7Ptm3yHZnQxLg1DVh3OQqbId+XQruF
X3cbQmckDuPK/eI0xs2figYqLoNgcmFfoBX1NBIk+eCbJXLoKBYgrdsNtDdBoW15dai0XqTD0fpu
uf41Le+n4a1b79/3GQzCNwXU/a/k7QxrPTXok9nv5ouwh5QBl5VSR5nsHnUn3QdRfSwUWOFV7lM9
kjhsZJHNZsNzK7zUJONFV/KhqILatEzu22lEwyMNfFGzEferY7sXa+EJHpHmj/I4QCieHWPzCA07
x79dDqr8pYAGHHEsRLD/IO5pUDAaQ7D1kWUv3M40+/glQ6Za8lJZmyo7hjja38wj0b06aWuYvgVV
C7c6WheJXSBXZR6Ucl7NJM6Ona0Re579GjolJx/hFS0GqdNQbDCDLZIgseZCHJComwR9o02YBhDs
59x3DiUtFP02ItMMmXabxX8EWkrnjayGkg7nYBYjd9v17ddS1eG5j+sy3BR+3CFHJ8kJ4lOFASkg
wtM0caEihiSGbvkN7LvB3K4TSukkOjEMNc0GNQUdun1/nH6aPiy6NjKQpXU4BoVWQFoC/Bs9dbj5
3Czox4cagWDkPwiqPDPREgpnRtdch2jfSBuoma2eO1OICgSKEkgAQO+aaJ/aqURnHvZrHTr2MiM9
mfRSswvEIr6XBLlb48SZ3xALZ5r5mrjzgGJHznVxWgptHCVDOiqeGin1XhcT615PShG5HEGC09FP
hmKPaBYN8klCddARO8LcmkeffQaQ2XNFbo4QFFkXp1wt0wSWADn28sooR0SYmjpxps6U48Nk8GxG
4qdPNdsfxBIJCFpQ6pVjb5G1Au4t038jzfB8UZ4rWItPMNWjADMQVas+6hWgEGX9GId1744tIpNt
12Z7KwmyjS9FljP5kXkr9ACgDT/NnCkJAzfsmo9VfvlIHPpg5Lk1cVLOLD+nuxx6+CIagbi6oeQn
d5ZatQ8UdapP14PJ6VX0X1ao0NA6D9aG0vaplWAI5DhG7c2VYVm4GaMs8RJ/UrzrVhZ30dkMbQW4
GZxd4BDAWp+aKWNkWnJY6t0CZv5HqzO157Zq1F+SGrgUD9V7a7S+EJpVt1CD2mnKY7gSpRdnx9kn
WAzUREBwioej5PaD9NtQYVrMa+6laG1BhVIadOr7FNlL1EivD32xv87sLm5U/hjnahSlktuFbX+Y
Cl04xKX6rQzLNrCbAom8Ig5GZNn0iASmmI+P1+0vTqc3+9Cy0aAyt9Sx0U9nXsiEGEFSQXRx6mDj
o0vlhKHWPkIPlByMUdF/XLe3eMD+tdT0Klm059PBzOl4ajDKhdSXJ110ZZpHPFTcDbcWC/kTKkui
I8NSDWriaD11hdDdT/Di/4LNxHiBwXNoVsLKuW/P7x5umQCJuNIsH485YkjlSF+c6/OSRwJElp/V
cjyu5INO0ydv42WH8rqhJxJGnSX4pTdzCWhah5gdgPRXNKSnfXYcjFctnCx7zPFwOwgTfwW7dT42
GtHnVxU0EzxBlk/IFqnRI+ViydWQ5AQh1x69qYvWysSzc747HHAeMibMEKxLYAngTDtdSxQOtJHl
FF3VqMPNgILJNu+IiLC/J1+v+825n8LjYUH8MhPbyJzwp6YmpB3m1jTRnZCZu4MxKP8swMqFEoig
gs4I4g9xPMzLRssgzei0UJvQSSxza8IwQCPRmaKboyay1TqBvrpjH6OunIYrphapbo2wTNCjzV6l
k5qLtbo4XUJDryDcDnSvKVE48AIp05HyKLT8hzL6SEDmunxEo8YsUXfpY7XfIaCQZ+4YlMV4S1pK
bLwmKIdHlL391jsWjYiYVwRyzw56RGNWXmeLRefTcrPWgRuZdODOzGWnK9EGDZRyqFB5UQIlv4Kk
unts4mGDBFGwskPfMrPvHOwvWyb5JRAbPBGWhXTkrKc2O46yBxuL+K2fBiCFPVAS1Adbq3JgAzJl
NH1CGF0i5IQC5xiY6kEy4n50eJZTiambI5JEejRZ39OYw2WjHn2zcdJBUV/rOkFxSc9r2P4mQ/Nn
rlEkIVZOlgvzxbVJBdw145h4C5zO1xEZMgnxXeQtRsW8hWbaPExyNd6gKdU+X98ki1gzTxfRjLs9
QCJSVMsOr6wM6yO6z1zW6EjZTpI6PWmTX3OxpB/GozKFUF8ZtysR7q1mt1gluqPocRap/c8kGKcj
RHVQxBVTxUuzqH6Oy9JH47KqhI2EnvhEAktCQQdKhmHfHAfEBJtUlkqEhsIG/W2lznQI6ivJsJUZ
Uhbp8ZRvkT2MtlqVpq3T1SCFDlIvJ9rNECDusiWxA3GN2XRmYsNcavbu9WlcBM+3adRnQl0igAHv
8sLDM7Pp617klSJXQXNntYXlGsMUrlhZnPx/WYHYQIeEjGfzMnfjF2mPtq0pQX2eJbd61+p/5nqs
B17UmOFB8dNyc9T66TZrVeu15WBaOSIu2AfxiVLEG1DqjO0ZTAwqdrCeeXmQ3VaVclPI6iE0yvtS
j36lLaIdmWl8VpXi5/XZXUTyedx0SMP/RLrGMOEDOPWWMhPkKOtFzUsLpfOOU1XvxSLpHb0rI68R
EG25bu98nLC7gW8lx0CW37IW3pmqpW4FQg5/49BWtxYFkhc1DbP9kWc0FOlINnqWIAtb1UJ4BPlm
PVyJYssrDyPm6c/egByBqxZZrdMR+1GEnhRAJy8Ne//FMFKzcujmaHSeuA1d77kEpH9f6ghUIban
K7GDhHBr2brSZZ+QkNV65/qUnDv4nDLE5cgCMDlLyr0q5BYuVIrq8VVkN8vstzKZyYqRt2H9OyzM
DDUYgHlrlmMASblknTA0oUH1xhI9xOd9pMOBqv4s6lAaQHllhopi8dQ+RpkEZVzS0MPv1oC7ZbRH
svC3PhTJV5gE8sQ22mGCQzLVLJ7zolHfhNYU1RsljjKZFE4uUdQPp+SP+nicUuQyTFRng5wksh0Z
kiBsrk/dW0P9YlQzaSAUv9AXQZGzcCeLto8ii1TZ65J0UwcyF9lYRyCtTfWf0zANaMxJifAtGgej
glcL8YkmjwcL2eZo8OqpkB01yrQn1RSOn65/tNODhvmmlktNCLoKPpx6RophCSw2KjeGaxpR6XYA
PAZbJoXzZAaS9vmDtgC1QbM84x5JulEePHXptu3LGsid4RqczG4FkZrbNlPpIAG5lq8/G9b8WKBq
O9ch4XJYIkasUG3GaUTZlnyScnscesMjc9NtNSMxVh5Di3c+UzjbIoMJ/ACqAzDZp8NCAsIUYcA2
XTEr7ic+FQGJCkmbSsZPSyHhZSrkkPJuajdia8mHUI+PtlUi9aO0MWrm6JuvvA/PR8/1nUOdk3V+
NS2pueSmyhSpNhi9oCKoJTUaCb1e35sVQucfXdNTU3MgfVcQMtRKlDPEmdwozCukpdvMQVGHQNmg
qXfd1OlFZZ5nEpQQjMLfQl8NJZJTU7IZpxbM47o7QVj92InV+DlHmuR5GkbzCVy39H+4+7bmOHF2
61/EWxwkBLdAd/scx3EcJzeUkzgIJEBIgAS/fi8ys/eO2/7clX35XUyqpmYqakCHR886FUJ20YkD
7/XS3UbFiYuZC+AHx8/LUSGeXHgKyikqZ8s+Cb9BqJkjzTnyI8OzCobruWIb8YMv/S6uDb/Cnt7f
Ik1P/wQCHdJsTul8h3zY8O8/Mq41wBa3NjHENkerae1mMPfFyAqbODCwB0SAIcXW7nVd+rv33/wb
8wmteLz4aCN9IP7v5TuAL25PLIy2inbt/bOoQtwVOPjixu+Z/Pz+UC9Pmd8fGUNt/f7tnEHz6OVQ
KyKy+s0rpWhNzHIqsSP71XJqe3jZuPl3FDSPtoIXeNHxKIgA0YrACQChSUw2iFUK6FdEOneXoNFT
pFyF6fQh7rv1MpmRZ/H+Ex6d7P8MDt0HXiY4CpANHD0igm1XwquJFWscTRfopMM8XwzkQ9yWqpAt
Tw8VbEwf0NaQ+5YN8hyVf/1UMaiVTizel1XOv78kBNCAWxm6acfYh98hZSh1HRLvxCKvwewXPwyY
CDetS8xZ1PnLnvWh+sysP90rM3V/p9bYvjKS9LCmsOf/PvJffmvorvxmFF5cpMgSvGw9P3qAh2CJ
yOLxHpX/tEfiL398/+2/+cgUvA0AkfDuOD6J4y5evMS1CPLu5ZoLRBMXPS6/5wiX9r7jeF0uVxK0
D9Ys7tC0sbt/f/i3VhJaR6DH47q1Tb+Xjzwh06dJ3cCKMgmGPU+i6da1orwew3D6+f5Qx+Taf17v
H2Mdbc2+6i0i01dWzLTVGa7g9KJH0OCh8qbhcom5PmOCRejGr/NHipivG79y4msX9fH1JJZTzLG3
n3xb23DGYsAFXj75ghwnCP8w1/xlsAVsAjws7P4XiqG/5Hf8+9z/O9LxxuhVXSdgllx0EpmbJRpt
uw46bMA1/lCceMfb3/WisNumMJQ///1UR7c+6QflLKVhRaBi+wFBldXOLW34gRP458dDs0t0n+Zy
YKXMTR3N19ravYTi48QPefPtbjcG9CbR1z+O8ZrQqCQ4DhhiERcEHNJyzUMLKpkL6uT/MNRm1oZC
bmsBs6NpxUuzBNJg+4q4IwepR7oPBxfBOb0Jz95/vS9vff/sT3izsD/ayEvALV7OmVSqxIsdilML
klVGkBz6LfX1dAldVLtfazaeoLeQN74mpg82RAL3VDAxXo5XLQg4raceX3MIWD4Blcr7MDzFVHhr
CwJXB5sAencUBfHLUVhL2nAIMMq6BuZisKt3E3H06jxfw9GsExVChurouiVRdxNZe8oz+o0yalM7
/s/wR1PWRYYxOJpi06fo20vDk70UcXvgloJXjXo5R6OoObz/Jd98sxRdWMir0HM9bmjTuYJWDMsA
X5I0hSSdPF9QvZwY5a1VsFFaUPai8EfH9+WbRRptqwjDozXSTw5J5+jBryY4aJX0xMn55uaKNYUG
wWY59UoEi1xQEwvccwqRSswQmECTi7ge3RkSAouuRAiEC+d+v5KzUUzqcaBsfQKY7i87hX7uiZLi
zXXC4A6Jh94Us9t7+aMIV0SzURu83WbGHdO3ergmsG2+Nk00FJMdp/P/w9f8Y7yjG4/PF7j9VhhP
8BTRlGNFshDjnXjHb80ZtAbBZ4OfIlSu23//46nKdvb6yMfeaqBEuQt0UxWe5f7/4Vn+HOXo3Y2d
bQOkXmPNxys/TFXP9kat9e79N/bWmkehHm1gNPi9r2o+h+5l52HN13LQFwurai8TiGT+Oi+Az7I+
qsFUL3FnzpgeguAgQ0Tqvv8Ttgc5OqoAthAQBPHlsHUflR4ybaJybrukcLaaLieOEGQ4yYq8A4r+
8P5Qb2wx8PsDnwf8TvTfj7H32C+RA+z1GCqsuq+z1C5DaFVuTK++aRxhYByXp2Kc3pgtGBMGgJCl
bpfD7Tf9MVuMQzqbXDBmVQ9rwZsmuABx9xR49eYoIP1Cxo9y+dWJxOZ4XWGrmRST6boiCftfsET7
S/L0VsAA6ITdK46iDbs62sakiaYlDvCl6qhlJc6FROzgm8a+rmwKP6C/LD7aJjilknrz0dB6S/Dy
oo3d//IFohKPYj5j1AG9iWv0W8ml4CeR3O10OZ6FlPq4TKNKwc36aOsw4VpPsHzF1mGdOIiJ6S8Q
T/T7hLfrlfLG8b5Zo/UwQBCTez6Ev0KFy7kJpaDIPhpOtaTenKngkoJ95m97zNGrngPp95ThEo3m
brpktu7cPrLhcJBqGbF1txbhkBEIPu8vkDe2gxR42P8Mu72lPyYrrznzUDSxgi4WuaVqLp9XTzH4
0aagYFYQOmQs0mlmEwoKvUvqE+O/0bPCFEN7aPOmSzfm3csfUBtXjbIHw1t3TjzggJvaPNB0BJM3
Mewpman9uZoYPtDV6Af3fdiRJ08CRs3Gdm37nVpp5aPFxYDGvP9qjsVD/8x+dDbQ4oHrA7DUlz9t
jEceOZjOFqhfQRyZYl9k4Si9G9yWk5saVn2PbiKHxowyb8Jy3Q10gp5oipf71RLybHT5lYGFnHtN
Tc4HRA/v4XfefKjj2tbwIi3nEy2itxYOIDrgEti6NorCyx+8IK8oaQlNCrBdojyuGD/3y/JUhslb
MxV5MAiWxsxJIPx5OQoCPQcgng2+mJyjTCE+3WUpK+0+iCp3SLslrPIK3Fp6orZ4fWxs+Zdbgxht
W9Ru29P/MVW7rmoaluIWkQSqyjnIPTvNuNyDxX5KXbidQC/3BgwF4QZydWAwgP7ly6FsozyEpgDL
8aEEuDV2CkTW2BnJVhwclHYnIr+5mkaftd+YmN0pxli0Lfbj8UEm2gQJCXQ4x9cNq6albWHRVIip
nKDhqgfxLLwJNRTYhuSmkWFaZfXkx1cIO3LrLh7tJ8+HjX9mIoSbZ6Tja7xL/alNCqLXxmah1zKX
mRik4rykY1Md4IpBnhBigkR5t5bluMcJGd4kSyWaLGS1tjsw+fUdSvPw49aYfDIVItHzYJV9v4d3
DULS+3ZwH7qxMf3u/aX3eiITHxRt4F3oTEG3c3RFT4Eyh12D65agtd2ZnjV3Gl3Ov+5bYpSNl4G1
gkPruA5RE7w5qlSg94aUkSLp1nRP1/lZhK07wZF4az7BUBz7G9BDTOCj+ZSAZpiaCSOBs6rOGQIH
P/vTGiFKXKPJ57lp+BVCUG89Gp3CBN58lTCAQozTJkX63VX+Y9WEoyBtS9E1xqUu2MJblNnhXK0P
kb+wxxIuJQcWKzjuJszs5xpHoQZWfYlNLdg18ExpPFF+pKq0H9//xG/cW7brLW4JG3NrU7e9XGOj
oTjj5IwG1GJoBNjJhJ9i0EHvgQORG0cV0m1WEcgfSxXBSAgSGZAn1wSLMHfOq4a8jaflr/uA+E0Q
r+AqjGbKP5aPf7ysGtllsP5eWIFZ2d/IZkQA+zSvPwMCryQ3bKa+A1K9TsyOtzY2uCX9pkQi5e2Y
Yq1DjkWI2MAC9k8wmg1pt8c96mfggpN62G1vfrGxwOAeCr8t5npzeCBHe7cuA5Om6HQWg5/IiwR8
5UxFrrrDdjNd1UndTJmHSLNvcjTtfmrodOi7hKAXPDR34dqqH8lA+E/lQv829tzQZ9KQunh/Zrwq
SbbfiIkBOhTWSnDcnyuryuMKBLpioNLdTlR7P0pdlk9GxOuIzKya+wcVc/drwk97XMLVHN7/Aa+W
zNEPOCrFtO0STknnFdMkQTfn6ed15qe6kK+2hG0QXMBQWCNHGnyNl9O/GRltRpwzBTTKV4DyLoSM
utx50ZWm8+VI6B01+kR98ObXBwsWdy70lYCyvhzTDkRxGLl7RRKjyswgUoYauIs1brPDoe4q7/H9
F3lEjEXbbHvIJNmqbNzCyLGXDfXAYGQeg+jan8qigudcgdABOL8tDdG/3NwO37s+pSD3QdK6IDT4
Om5PXd5fra7tN6Bg2PgaiCI4vsM4zDNeUfgD1WDJZhwbHhBQn95MalKf3n/eNyfOH0Md1V/AOCsQ
ZjBxus6Ri4bxu7UNTpltv/UR4WcV45/fBL+jQRZGZld5jVeEoeTlrlvVmmTJkPiHsjX+Fwem+6/3
HwvQ8RvbBnj0iOCAn330ijRng3YBiX2udjwak8tq4/3klevXadcw5fu4H+F86JmiH5CF7qBUpqMD
mb620sdPC+MGx4undSboENNDN6k6gpTAl19ACOBfAFHd9mWUTplCe5zsuOGaZlxEXZenJbITM7Ts
lnpX1j155NOU8oOLegboGgk4t4NfRgQJJIH9SOjsf5giLeqs8RGGmwtc8OANYTwpigEe7HEGYAGM
0qmNQNtQsF/ys1bP0U/w0d2vDvzkq3QVJt0JppsvbqSdzjrgYOhEupV8itTSP2iQBPA8ahkeqGD+
dTkz12WDTLs0gyk5/uwQpLDkS8cQkdaBEvxjHV3IMxqP3phBKRHXkAL0xF0wmO6O2VjqhedBb5VD
u7Aez9JWwnGHrUmLW0KspurKoyHEi6Wvh+9pnFRVEQ+rfw4wf/riQCNtdqOK6qiIVdLzj54NTd4m
jUjuRbRoMe8GO2i4RsAibZ5zmnhn/lClQKm7SQdrodZWs/BzgG46SkeG52uHIgGgOtictqr8XFcR
msB14vf3Aa/gs3aYGJKhAJ1YxOF1Ed/C0crWyl3ARRrlCE0TcUHjKdBZJTl6yd7gs6fRcfFNz4AH
8sZPB5lHkiAEmZUJRV0yCTtmLXW4Ga0BZMp5wGr3PEM//lEBsnvmFlrBzI9bXyKAsqpMkYDjvT6Y
pK3sPu4G+DqamAxztq4+dK3OoXVeqMCL61xPCQ62YTHzp8B0uOwGEtf9QhmESWahGFiYyUgjbpVB
xbNeoLqAmhRtQMkzlSxhWKQ8qrxdXQXgS4yr834tA+aAo3OACyip9C3uohptJcFKeK1gc/X2jSxH
TPVojm8SuiLJTU6+DnPeU5lphS53L2MD7Qf3lp9omLKmgKVTdQdRa+eygJfsdgbhCw4DvesG1EgR
mCkebcXj0lXYQGcdyg84gJOP4zKoT4BtEfSLSCOFhlDYBbeLGhrQR0On7TYr7Xw1lL2J95Z5iK0L
ALfOmfF7IzJ8uRhZC9T5X0Msts+4C892R0PcefO1ivV5rX1/zhraE13gBHHfAcnNT1Fq8BcBL4EK
y2vFGkGsNK+faFn5nwANhd8oOidwYJlFv2TLtOr7ThrqdmgzzQS8yTKOC4S2+VU2qWXFEm+S+nmM
yuWimdEMzIyskZ5KQjdeREHbXghPIeDRYF9Msp5ypwufexbMKjs0ABIr0GQH4CgV8u6Ju0O8N/u2
zoLeUsMQ5xw3CIPD+SJo0ZZJCAU06rhr4jWry2TH2A87pRAPQ5w5++eeF4drBvZU0xbJAjlH3gLx
WdE55KTPJj8yU7F0EXmGT+gqb2eYp8BqjDeePYv9JUgyiaoX0Uih6+tzrkX3dUC42tegrKIH4/Gl
yvxBzwLZSTT9lsBZss+WsFS43KlKurxtLTw6R2QDjDl6MTCe7EeKUwvpOQfbRPY+diI8M5QjxAQW
cWum1otJyPq7W0C3yQIhm0dO/XrJuBIaGzCl+ns7V+q+Apk4yMckHh+DUcbBWUzZwraNYYpzMQn+
2a/i+HPYTMLsSdI4Uyy2bt1X9BUiV8yOULFbah5+dHU5uwMWRYlfXUf+9KPWgwzzdgHnNGub2rDL
ulq88bxE2kK0lxp39ywwDnBgakqYDoRLiagK5YHCsVsqKeo9JCS9zP3R+RcxznGZxWgweujMCf+b
ImKdzhbSt0E2I2CjRhMAdWAGlwB/KZghiyzcpPogi+sQPPMOEdhxlqiRfZudqR4IrUCNWWHKVeZq
niDCWZzvmUI0sfTPe06qKlcIZqZIK2X2kDSImshBmBfTWSDj6CH05qk8qD7W7blh8wRXExBC0gzU
ihJ/2qpi+8kv2/oyRH79gXPj/wr1JrkizhfTlaSt1VnSoObIJ0Ns+VmMnuluI/gm9odRruOM+VLF
+K9Q4TWZmgFtFDIR9nFC4iESTmkt0jyIBhOcdQoCos8RZILtz1E01hYKcbkdMmWNugym1B6quI4/
+0O6PhJXgbuNHZSsWR2V9Zc40tA8NpBY+zdihLhjJ0jXNd9LD6dOFoQQnAKzTQEd+RM8HXUULH4m
VjWlOWPce5o9k7a4qeLyVkjRaFesIa+/gRHlbta2seIOU9v2MAxRwVkT1N4PDePX6Tyayv7JRzdZ
5NBirl02xmWFvSNF8EsEwb7EIdB33hhsMTOW7C0oEHQHmhrwVrCxR7GjS7x8qdsxePCislR5VQvs
Ex7qkKekTiskSwkdZh3iZpEeR0ZyX8Wl9zgYMuNSEzlUTJ6ZoxlGIE0z5o0W/EvUsaDKe2G6zy2I
FmEx9HPwyxvm8dlG6/IVilKLhQcv4EtWasT7qW5hc5auhGF1eb66XDV6bfuu7JfqIFktzyk18ZI5
RJPc4qopv4WMhzeadqErlqXvx8+RburrsVsjXaT9OtwY/F9lBvhKxTs/5OI7jwL4aNZN19J8WeYV
gs2kmZ/DwOKwrvwyvmqUr75NMGjyMucHYtzNywiJZtI7ejl2qRnP63odxgNRwkvyQHYhkPgJjM6c
zBz7Z7quVO8hTSAfCe/cpxKhy/rAVJ2om3klFsZdFo0ilHFTytB3xbzOQJLvB5ykIP5msCDteLFA
VFPmMcJXn8TYIeULZvqeyWe8l2uP9SCNsh6qWohxZT/nQ+MuylDb3EbtczRzV+dqIN61jHgjihWN
bWpj6D9rTCGcNrhlzwc+9uJSJmpI9n5qm6891uOYz5Mn66LTalpzORLvMTEBFiEduXnSy+JoPuOO
Q3exp5KLro/6MdMechhRw3XsqXPJwY9gbljN+L0ZQvLCQ9Nr33xvHav8Xd3KsM5J0pbo7DoE6RUK
XTqEzw6mrHH4s/Uiamzvw3rHs5fIceM3YNfAvcofGbmTtYDtKl37HP7PeOpWNCiPyRDiKLGhktBM
zT2O775c+xEsQfh/QPipumEX9ZW7TJrELw+NB2h1x2wVTBl2fieKACGhu6GF10Qe83r4SVo3/Ur8
ARVRV8XtdQoxAs0qPYOoLJcm9iEcSbw2n+tUR7kOVw2LDAeJalYiCLrPgoFWUw4xm1A5Kl9sZyng
TSiAKe1gBtrg1WTQeoWn+nqv72LQwTIEwYE+iUb1cc+HudTq2cm0IKEcc+s30x0WBerGbhlOoKmv
79cvh9q6DH+0cjxvHIa+GdLCdB4/4yIwn7xKBvsO1e5BLuA8r2q4J6jjvrx/W3p9CcTACWQRcPpO
oRM4utjHLdEWEFaKAliHOykEwlShmt+9P8qbbxLMRICaoPzAU/zl461+JxLZNGkBsUf7pYXLBhzV
IEY54AJ9knD/9mC49+EyjwzQ444/Yp0g0K01Plvj+kL3wDtQIt2lCwr89x/r9UUTLw+ZVv890tHL
61vNQSTFV0Nv251xVvZnyeJW8IgYSHiVsoh5Fvz+/UFf36ghid6AQMjB0Pz73an8Y6rQyZZcySkt
Fuh4iiVEVHHt33B1FZTlKTXF6+YWxoKaAB3ZIIYe8OgBdVf1o2FtWpRDSJ5taqgtIjqST70b/ULO
dXfPu0g+htMaHFxPw4f3n/WNFwwNOqws8Cs2T6ztU//xrB7yb6GowgvuytJcBolcrplh8qNEnYCb
19RIrBB6Kjv91KjbF/hjVFGO1SwXTKA5Tfs9hVjoVzhU1X4w6Vxgv1BX3mL+Mkp2a3aD5ACfF5h9
UOgdjholg1jX2PGwxKyt2SXxu/gqCKpT/ltv7DO4csDkGwIyAEXH/mIWrcJkDeeykGmwZCnHlptz
AvZ1bdd420Tb6tCKZYs8wOX+7P2v+Ro93Z4RHsQUMwnhqMcpEgJ2Wk72FLEFadjcmA0yzeduHO7j
yFyFQxvknRzUOdL02Cc2iPQJcKu/j8HLv4BDTXROhkSe2JneeiGAbWCYAmU/tqejjVfVtNadHsqi
0WmCnb0XZw6xnQ+lDsYyJ2FPr4cutm3RhSht3n8fv4G5l/1tSNFwsuDPrY1/zA9vNfjUCHr0CqjC
OER6GF1lpe7V5YI+blbGSwQH/bIBVhmJDwkb7S1dk6Fwsi4/wTnRO/cMW8/SqWJ37ZpSQEN1ednp
mWZ0nqNDD+ubQ9OQMLedX+OSOkE+stoka4RZ+0wNn99/oDc6qFB4w1YgQfMU9jDHBhYwBVttOfpl
sSlnDkE8kXMSrEGuFKHXMayGchmUzQ0aOJzkDuLJGzPF/G/ZiJBbweB6Awxg3gas5uXytXGJS2WI
vjHC6tjDICFrZFH9b1bJv5ZBt/98piO3oqN//f/evOi3YcD/273o9llPf1oX/f7f//UuipP/bLoe
SN8wGcAu2kDjf72LkuA/QI0gk0fNARL9b9rdv95Fnv8f+MtBavY7Axhdf/D8/9e+KEj+E+Hog98Q
dK8A9EGB+AsHo9eVjw9MAZwyCDNR2x0LTzl6P14Fctxu8NHQUT1dD7junfIGeL2/YBQgqUDKQH1K
j2kAWtmwh1Kp2sET885rkoNK6yeoJ65Jz1PoB+ZbL+pPdMBfn19YehDVs22zRVrj0Z7WJarrNDde
YcsFl1Kv9O6qZCqvcJF9ctgXrl0Xhn9LdwBuAZYDvjYE0QG206NFN4pqQYKoVyiv/hKkfLyQploz
CL/k/v1N5q03CvNBGEhu2asQ8rwcKehpzdDx9IrFGfvQdz4WeuXLG1vNQbZ0ZXAW+XbcLy24su+P
jKn3Eo7EeEghCAFJwgcUTogvR0bka0QFCYfd3CQzzArIGHxqe7C2ClGivXHijb6an1g7AHURLQ+B
KFhWR89JzaArExC9g7KI5qo28x7KOH7iTH5zlE2giixUYGz+0WY5LmyRson1bpKuvIbXMS88Hqrd
+2/ueBRcoeBryjYJNMLecfa/fHNRpyIgr5D0QX69wHIm9PbIHOpOvLHj77ONkmCtQeMdQmt9zMNQ
ASqZTlZmB3UkGrxtYD/16NxeqCEoD3/9QKAvb3go+O6gZW+T9M8SEUUw9UAr2S1LGsOcKgIm0M7s
RIHwxmsDsA+mNN4brNaOnZA0UqempAYFQlkw/zx/GjO7rNXffxzwo+DUuxkNbvX+y2eRGiZZoRoM
2mRJnJm2QWd5Sk5dpo+fBRsD9npsgZuIZbM4ejnKQhsytLpxu2FIm7OmhJ3YoRy94VRux7Ys/qyp
cN8DMrRtDsAboc09gsPxEfQ8pYO/Y75xu9Z35iz0fPG1Igk6Ignah7fvT4VXurRNjwBOIBTsmLPg
3x1V7rztu2meEzRjTAOKAehmxRR4AnWr31yQWD1VpE0PK1widgun5jIksr5Cv2Q5sTFC8L2toz8f
HqQMzBecjrgubR5/Ry/ZELbODOj0zlZwO91MN+dNFw3jrnPVtEoJWNQEaVSQGkXh3gqdtg+lkhVw
mXKqloMnbfW8+AR2RKEcnLkenLXrIw2x1932OEvbC8CTHOBN1Gps75O1rM4bG+o7dA2augh1jNie
tierPpONVbcmEHbed1bpK7+fW5M5yF/Q0wuVuIcegbRnPIa4+VBX41TnbqkTXszw9kXS2ziBzOgr
dKd3A+4pQWGsBfpU6mbdzSOc9x6rYDBOAXVEJxuuGETcWYo746UR6E6BD2LR7GZjO+cor60u+AKf
15tArL3wLsNIjMkVIwtAFnA4pit4z6xeBmA0GXJD/f4z7BRqk9e+Ubu0ozB7aXA1u2y6RTeFADhx
b2uWwKavrJarcox89bNLYG6aJdO2ZGNRM5S7Myjd+ToFvdlTCceQrJdw5IATYuyFO4T1sC+GaaIA
j4862aG75YOoFvAoySgx9FYQGfc50x65JDjpkixaJ9EUPu7g+94zvMq7Cq31okVofJdFdUgn5NR5
PS26IFzdLjSO3fkt60BFcdvf4guX6J2H5/7lrTrlhQ+FPMtmU5ofDSDSFdZ5fKp21HfVNw7+zR2i
C6JvoNkwgDXNMs+ZQw4ekkCI9e3BFyHcCOsmsO6jUcp+NYDbf62kw8k8kepxGoh+qn0fUXVtbUuo
5vpqMrkpXfxImiWpsqFMCc8VMewq1kiCAvcv8T6g+aF+iFlF/KzBTWNFLLheZN6juzns4JJmLirN
gTKNYIP1WdljWiMkncOpYOlrtFRD9Oc9MAJv9BDrB9OBcXYAuFnNWQe3aD93TZkeZvBLoswPFWCh
EicFzZSbawE1P28PnmjYt7Gq1aPXLvEXGykn21uA8k3Sf0xhZ7VeT2kA7+PdyMLuUJe1DXKATekd
Phk8biJqvXonUBbZrEtd+hBDz2J36DlvbWPrwuYy8cZZHhCzvnZ7ocUUZ3AjGbo8BPEA+Dmo8gms
0Cj7ABsdAoaxJlA/kAUcoquKV01wPWu008uvIln1h6pCJA2+TRX/XEOp7tXoKAiWAPOBqaXWeVkH
uPmbZyf4unYqYB+XvsGVFkBBjZyG2XafuO0HmQF0Uh/6HjnLmRoDIJ4hr7omDwI+37OpietMJ016
L7iV9NxFk7jhuiVwNobwaoBGrwMLPrIJ+eqt8wCrr9EF/mXqcdfknkYI/a70xibOpxUc/oJ3nF6H
bRs8sxrMkGIirLywCJCXecrZsuxpoEcvt/CmiHMPfjumuh4aJITnSQ2/oiwoA2b3YZ+UhVeHNWw8
YCQls5F7HKbpNY0umcB+tTNg6Q67FCAkQF4vWWjW+uji5hMwnF+WgCmeL9hkmp3f0XS+4JTNV/Os
h+UCzOIek9J6EGP0gPh+LmkCJsEu0DB+okrx7z2OsiXrYCTjAHw5+jyRuX2INDHVQU8h+bokhH8T
wDgf1mCMvsoVQtZDWSka5EvVxk2hQA/+JNM5APrdwHPdX00fHJKlQW3h1zDUBJpUeTRbgPJ/lTZa
vttl6O8SLpqmAKY3DllvHaCeiq/IkRrMLAla9GF5D7eyOrzq4VA25wp0BzAECfN/9MQMw26qWiwe
iVVhs7KiAKIgxI9/4YImkVqj50GelQToOYDmig3naIRFZ7NkKHPmlg9fIN+EmyljtnX5okj/rOvJ
u1yFTJDjtqTBVwr44bHVwqV5gwpDZcKDHiGfqhoYcgNhK1DESBB+noBQeMBcZiSf08E9AccyQY6o
785kdJlmczmB/3mXoIv8K+0GRbAVowrIJa9Xr0CzTn2n2AN+eo3wYClAvPhjOACLyC0REQxX09Rr
shln0C6MQgMj2H7mtyC6AX8uHYM3ai/6BqqBOeLfp9F4G6JSpzXWBrw3djDcDPSuR1fhU4k5X2Vl
A4D1UGtZqWyK+qm9VMgH+yDmsKaHMYr7JF+4nOSu5Hr4FXDoVwtKqn7PRlaXmXD1EN5u5rofI6rs
jez89sfoZnXbID8NQLtakiWDXEY/oW2ja7BNGu/eunV5dHyCF+pQot+ataGKflY4g5Zz6S/w1mrK
FjQJtbQL3S9EBTrvIh+ubcEEzjN8UVeiM7ALmttZdsLP22YKPsKAA1SDGMa4wx4sZlj44k2ou97x
AWFQPoiFeYme3a90AEkI9MmedDkU38uVmaKZgYS99B/DcYYtaFimSF/gNl7oWUy4+pLUrreZ00Hr
sgEY+IPsu1DkKesRzMiXaPlFjI5oMXXABq9IB+b2mRdLUMUhkojSItZ+PcMwjInh0uDmcpdIjqW9
6JhdBA6OnBmDnu5DMALOy9qllR/TaKJx3o4yiq8HGTEvK6GUL3M3BvNlO6XeiO/CS9ABWo64sHHy
rzWkLSQbRGk+Y88RUYaDPb1pLEqv3Idq6XnwQwtRizbPcbSmGngVoggO8E6fPs0TROIZlyMX1yzl
ziCEpuyBmRnrQa7Vro+Tz1aVL2Qyd2VUkw9kcECJV6dxsiQcUs51xjnVxUHoYY0F+hswY38qYkdA
5Q3LkXyJwz78sfoAFuC1C48QJcLwod8MKvNV194H1S+xQVBCxJ8JSvgPKAP87yQSIXI38HfzLAox
HQpVEv97YEhwq+pxeEZtRwApVnT8DEqE7JDW5ptrOL8avRuTpFwLYMprmw0riT6iD+rde23QBudp
aNXVpNkq88ny+fvaJhZCydBikZloEeflMCZN4diIwk8kYAaMI/i7qImD6byrZuQS/Bd7Z7YbN7Kt
6Vdp9D0LnAegu4FOZqZmybIll+0bwrIszkEygmQw+PT9MZW1j70P9qlzLvqqGxvYLtlKiUNMa63v
/5ftZvVHAsx13YVV73+ymiWE8afAuB60tGuOT6FlVjx6AYv3/dZkdIccaNC7UCfVlZKF7dDpjfzG
Ll4qxitAVvyhiVjhUk5ZYX9Y/aR+wpiCi6wdv3lBQdiOuwUn4w+FHlbaL65eFu8KqVcfxqEqERB4
RmB2qJV6Hoc2vpN+Y4aLwRqw5Pdb5QxP05qBqVWtnU2XFueG8sCroskiFp5zuM9qBUGT4VtYcJDt
xXLw54Qq9FjEUB95rcp2H3R4MR9835qCg5xCDIgD0RU53vvSp9PaYmGUtxRq+Zx7UT+6y44GvG2R
1m4NbNolOswhekTwdYxH+2Fcu4QKmq44iBnMWzn6mdp6sW2K1AD6un2eZJs8NqPjtLtlcITa26E7
f4ja3MkOwBkc42aB1bPcWKeDzErcPESxFN3Rrlekv96A1yMRZw1yqJO5u4t92p/s0UDIHwOWVqwZ
5OsrDsrGYkfV0eqyuycUZeI+aV8HoJM1nXvff+3KfA3TYaAovOtijlEHFeoo2oWRNXc7f3Fr5+iP
3mRTz1KQNl5e9eZYD0P0kfPcZKfZIMrnmehgOHSnIkDXZngt5YsRO7HW4odUs4Q5tJNuXwURXtZB
2BU/Q72Ih7mT6ovtyeWZp9b+HMp+cNMcg6x+50dF/wJiIz/myaY6yoqCc3DZiORb15G02ykjVbAT
xkvuiX5sLKhxNin2uqxQR1Lmg6lw/aVV+8wbbRxHbbCMeTbtk40nBLUV6t2fszZuXpfMbcPd1OXD
FXQWi3DtjUFzlUOIsGw2mvsoWZvu3Elu5tRFHX3qh6JwcFoePHy4kWevqUfv4G+O9PW6b6Zl6FNf
ApftlNMkLwBc3pQmzewSO1TT8sz8QvxVWWJ5K1A9BRc1rjvfQ6/RceoRvbHE1nNTHodBV7RPiVpW
yprOiTtD757v/aTjeafXavq6DrH8EgGF1XCKrnnNF7sf0wLp651wavvG8lzzFFS99ncgTG53M2JP
HR3EnMevcT20156/rordyJ2+TYERAatant1aqm4echN4T37S64ciDCG6MJIcPhT5yAbnuRZ27Thr
qsvCD9o3LOUWuL1ZddkukN3yZ9ElmbcrBfQHzI8oYHFn5f2YGAlEIyWmRLvIdvPvZV5bD1bXzK+S
LrPWbpwEB9q5rXhhKq8wiRtLVCNCS/1kxBQ9zdU2M9vKKt5iwtVPizM1xbXCg6PgKK59Qhc6SpZ7
M3atC1PSbsitZcRj5dttdoiAWvJ0ybWu0lZ3yRWgp3ipYzP3rGvh4Gxgoql3tW1orOVAgM27WmTC
pIUViR/4ttRO6oYy5sQUjjZ03ZRzDoGtN9+ziIbOOyvOky+eVUrFxrka/yCDdiN9atfnJZZ9cm10
tCFTMDU3YSzmEqfHLP6hG3hcmEK6I6UV6s3roJeUcKPMdF+CRhfmpupRFu7YJSfc++YNZKKDEwMh
7EcB4gVI+9yvTfhYdbST4j6UrPed9KyvfaTVz2TwJg6DXT09sKMs/ZGFun0o8E//uoJgPUdeZ1rU
7kv5lslB0mZoEeMPbxzznxM2/YrHsIpxj8YDJiUJ9fAGdA+ROc9h1LF/hWyZ0vU/aYewJpWiyy+R
zjtFGkdm/kYKvvhzsv0G1FnmZNmVSAraT8Vj6LLqJFl5DCcV5bgPJ97tKHyyFiHHbSe1zIBYU1Eu
1ddj79BYJy7yiO2hDDgjJCIkZSHHzsc7ns3dHHB8KAjFum5jcU9crntidOWG65Ln3MjdE8WLtTVB
nDf0qqNDnQqYyCfqV54I4M3xef1cn8hg3E+ghPMTMdxt8HBEhPNob0CxZfWVSpsTZ9zUzqoY87nd
85s3Fnku6UabDidGOUA39y3bwGUfT31v5594ZoX5V7i3T5xz3rdzc+hO/PNEBMNlnbhorxroanRb
Jsq7CzeA2q8yLbyn0Rmy0H2OELKue7qdJnKi0+kSF/HTOlI1fSQHUdDFjBZJ1SHiX/+MNswb4AHi
G/nW8LLW/uLsEVWo/HYu1YZlnVjxcsPG7RNBvuBQWKSziUlt9ifKnEb2EOfhiT4XeQGJjhSw+hG6
FXw6zkKxSWlWA7deFoL/T+aNZ0/KBYqrA3K37I11djf03d4g+Eq14FBjuE1Ue4EoXOpCJuQFgedn
eMA3Fz/K17ESbHQubdIwqYTUlrv+xN8jh4fFX6JgErvG0XSYcasBtrANa/1h9IoPI8b8nLnbQn5o
8O+ud/kJ+G9jx0dtawGg2jhl5QwYssVpfpIKNAD0GIGaGgmBB0oorvKoCYcvToW3K0S/CCDu/daw
AiqqVwcTObypnSsbxC/b/rqydviuXdpHsiaapaUJrcojJszi6ratRDYD0MXtHF/BZc4Se+MTHxZP
xbIYtmzduLvM5PGbaNj10u4EnQ1VEV/rXifyaSlhW+8rHI3iPaKmhqymDfk6XmdrHExPskCWB8wL
pNju8WmOsOxJRn96FEuyZjf9EhXjbWHamUZsdhNNwX1CR3pFjNrPYZbtkt7vrc9yjFb16I290N9i
FYbNPbzMOGdH7WZedAHCjP+0sXPXvu6joJ8GKEUMhy1mQJFA+4WNWMvHHnKMQjOWlglNSDyHwHI0
SUIdasyKhQ3S8nt7aG+dfp1p5YC6MlvmvTskCs47nMeEzIarSGjBtk8mivM0sMkr/ABmT0APKDVJ
HpZdaOUdgVJ72MfJW8AMg9qSxTFpIrtjq2manxbeX3ezyJVwiLjQRv4o3MpfL8zUcVpcuqyr2RI8
kpFB6UdE3NyAIENTDqUZ7RTOrg6eWQOrKE8t2lyN9QUOKMUMENezgDo87zpoX2M9g4dg7SbIEI5B
1/5s53XTF5A7E8GNI6KkubHdoRrbncKUg/yZ4hn8KCPleCkGgKXjMqDLZbhd4nzQT8HcoX0ghUbe
/8MksFYlUYb9b5Z28Cees4u7iq5jO235ovzEZqXqz3TXCd0UlwN8en2By/GzQTvVXWTeEA83tQyC
8uNSLYYnES74m3i4k8U3S2dWxMdACKqtU5OR+0d6ZHcu3K7rd6EHRpV0ItsNw+hEl/hpWd5VTWnF
RdiRtO6XFmHdR0o8neceFuUlTXmR07W9Xq4MrLaD+fEcLnl8UU50rpvznUIKQq649uSUkUMmSoqQ
cdhqtIed0RgSl7ul7xt5qyPAYU7EVjCE9SFn+CtUylFLFfq9RPX/qYFfWh6dLBX/NTVwMZnv4vtv
3MCmcjtzA0H4B80/8O5Hf0dSlqZH/+AGQrgBzKyAZTahOxAT1Y0zNxD/AR5GJg59DT1DXFSv/6AG
nD/4gIu9CbpFSDZcPf8r0ACG9L+VWIJws9mlAySMi4NchBLF73WsgMJTWAs8tgsEgYSioE4CKQ0n
hFQuIWQvwv/124wf+DO5FafB2DmpyjRYaeSDnnmcP2nc0xmATu19w0Sq/GC7Eh0ORgXWkyE2fdVr
n+DPm4trxGL9R93km46HqI440BqWG6/HXJy+QnP+sUNyEqUWYdDjNI3BreNnERKHRQafl7oEo+1X
QRImbnqNRMs3frPjGKG44BXhi87thLNEVuVfFLXF+7IokWUpnTnj0cacqCe4rtUXx8YugXnutaTe
F04Y0p/yx6HPCCKLyat/sq1BUMguR92BO4mkUqIBfC2pQJztYmlSI1uSfUGoYv/CEiK6GdwsyPet
a435np7BIdAzmd/64JDKdeC5nfzrqPLpbh4RW+yyGLJ5N+eteSwc/IAvQhbk69aOrWlPe1HrQa6l
3xxhgumHxOIuOFVHk0OObMJEdA+huNDdJ6/a4KpfbexH8zDqAQYKZAZ5sERfnWDM8tSPcoJeFrik
uKKpImeBKZqrgGevcdvPy5nKAlV5VVyMIG6X1CLq4MrTwae6mzPgDj+fLtgoJppREnl/tNoib5D5
xMAeXF++16hop5T4fn3OZRb5u9Au4isb/0prV0UDtaTCyoxhz2LroKrG3rhrWit5CSVVs7QPg/GF
4++CLK92+vnStdvgUzCWhoOV1cxPuiY5u3N8ZY59PpF7px1enLpTcF2KmvSKLolLuynp7+ZWBzRw
GjXjeLEi5y22PKvlULAdpqbBUbQgxqO1RiuypU7XxvWHdKxkiHoFgKSnI5RlP1STb1491XU/Z3qM
vKGwtB8o06zDRSZcUgSAYHOb9ropBgohTULU7lsjr2ww5UsR6pHgzV1J9gACzihfsv5btOVEUjNt
CiJh/PWyCUGUd2ug71askcoDUbakHgB6zololfJbpYFgSA6plFTZXB7JxI7+YaAyfB2MI/B2hHQH
NRRHSf/QUoKmCYHb9fLFWFlzj3akmQ5rEamrqczZEGKcpv2DwSkwuIjcuVkR8U3uuncVm2vlEePl
fd8/Ee2Rf0bcTZWkckOKNks5C5t8ft2uF52s5kcJTFldRb5NZioUjeeksbXGL71YnTCllOO4HF7J
WN0vljtN1NBW/eA4A/w/3mvN6+jESt7IJCpu+7DBXdq3l2Vj6nq0paO32n7KmQZLExD9/s1uRYEV
RJN9KVW3frdI4HKwscLwq0DJx7uz/f5rU1i9tevyiuORrY2Nk2QVtBVpvqRs2ZCL5Sl256BKde3O
9zOVV8y9V2f6FiyV913XvrEwiNpaLLZa1A9iXa3vHO8Cb4/2P3mNVG5Fu7XL1BPWANF45bH8Fehj
x+GTAO58ZIx5iqff90G6IpaoDplCPkcyJbH6dPHC8nOc2aWgZwEDFyELITynOpqLHQR+qhM68z5x
rie718v97JdLtBsJdukWvczTeB12CY/DH5B2pWRTOdlOrtW0Kf47MnxCmLvVAsZ+oHgOZFuxyJEC
R4hXl0gjNDXK+j7oVRkdYKfskipgHZm7ShfYTDv0N3shs+EiSUDGHF80zcoJaKUVa7VHKbssD0PA
Qely8Mi83HYkKWgZEvbBh6mxzPjYrcpeU44uZYY4Er/+j74DZnMtcT+2r62hXLJrObUBXePWMnQm
d+fPgwmXXUSXB4yTpVOqgzKT/RytGgU8Ht2WlRLGahtrGYvxXRSemO7dODfyM7zb2Pysm3prigYl
gOCU94riZohjc1HnE2UCxzT+n5hHxR8UY1FRkOfz+3ZxnZdNfv5CA1uyDTLjXZGvKjW96uJ2fNI8
GzJQ/iCSYzWoaDlafhkue0Vi/T6wa32t0BN/KauWnp/hmlR3q2MnkB7xTLaPgq81pFp3/Y98zNcf
AR00HsDjqm89pk43RRE6f2ZM6B9Or4s11WOy4OwYGtSvul6j10jr6dlDHGfvmG4tiSKRTdVumrOC
DAWaTLmXKkNb4GJu/6c3L0l3E6KtpInV2o6gJ7j9Hdx4ILXtUiT7NumVYD4LSc3xAHxv3Vdm7RyK
UMSO7JdhdVtG5fQJxYxvLrXqg8+dxvQjrZbJPCOQYexR+8g5ag45caCnNfXFcsQ161i3sl33HW0I
MRGXaz5cOyXimF2IW3BxdKgVtbsaEBCNQDZMnxEQ+F5KXd4nxeVMJKWbNaa0Pmmvei7JsFBTooRJ
xRsHaJrHRhW/tUqy+nZNcJYic2eHByvIV4ZZ2bnf3MlHHs0RHolx3NTNfETzFnwLc9JpERlPkVJR
7eURm57qq+i65XPgYqCx6zM7fBmRIj551MrYQX3K3rvGVQm7+DKqHxHFxCsCJ/Ual6b+kAxTx4Lh
04F1L4NNbNcXQfNoRFl1ywW7bSLsG0Fa4fNUZViiqHwcpt06Wslb3bXmbbbz5M0hSGN1av370lvD
btfWUj0Ewmove/JTd6pdxi9gGbBpnjN2T6UKBhKSpuIcP/mOi37M6aPL2CLVmYoslrfNiMh1J0vh
jXBAwp32GAGNl1kWkVd0VjJHVLEMitSx8OxXUsWr2S89etlLEyCd23sV5L29zOAIXuW6T/gN+0+i
q/Lk6NJEbOvNWGUYCVDDvXWWKn4aVSbCtExq5ONRj2Nh6unW/gLFP39JbDF6B7TJCP0FmaZy53jB
eo/PsTPtFdHQFRZbsb8r+6a6n/y8me9bpIm0k0JX9syOYtdXVVI7n6NocHXqLSo7FmqTYy+WPfp7
U8RufvCiyXhHdxEN5X0hw+cRI2p1QdnO/yIxnqJ7EG6pT2tlU2cMdZmns23Z8Dh53dyyqBffx8Sf
X9upzl85zZqXZqq6b/FaozmOxu3VeeVKgrmMeNUpc56OC06Pu3Uahtn4oYyy4lktTZyl+cRxbKcj
g5YsszZOppqyGi8oJ/xqpmq9EXkZDMfA00lCbD864U5CjTtXqsyoR9uYMnwe2rn7kCemay+7vlle
6YlVqL3H3nHjZNSe9tIXzpxK8rK4ZGRDdDVO1QxX4+BfqNe1avaeqsLrVeTtmk6lRyJdFWQAKQYq
ynzGnW0Pb+c+u4i9mbVxdTkerGhh8iMECwWVvFucL5wR2mJL3Qc4LpE0+LMYURCCr0wIovtcUq5S
Y0KB0ytLq7qkA2UJ5eBn9GoQck0+GlK0ORmlSD/51VD82XkIJxGgi4yas3CLP8kd659xVDX5XtQc
nXbCQcVIEdYqb7BCKh6nQVkDraV09NT2FfYQ7PH5fSljCmCO3ZsqTfAUpQl4s/DpuC+S+zVyENGS
p8LsYLK+eLQe9S4ry4PD7yYtri1dY4EwBya4qofQf67mqmeBRYxI+71AZQ+z53INWmTUO2fj5PQV
97RH6XYqyJ6f6Ln/NwNiGgILugL/Gtt6oNCEsP86HP609eb9b/+7hY748VtUfP7kOS72/D+wH6UH
GBExNqQnA/ZfeHo6RgI9umgiXc8HvfyrF7D7RxDCyROOwAViYAWbqP5qBkx3YYBF9n/ibZtQO/yv
BMb/1A84xJwJpzDMN2nogb8vXPbvcTHAFptwVYeXdpHVq955aij5Y7Bw3PukRW8LbD4sev/U57+z
y5z8+UXBsgenV9hdWN9VcSVUeZF1SwgkMPHfMeHtlgWVmCYWwTDSOyzMQKrcksxQc6hmWcR/xxGf
3Ix+wShpDQGoz/PnIEaZiP/9fi+1GdmBBqe6NnBRGZTDEnABnXG5RJHXkQJUMuglH5iAQ/UmE5EF
X2pg7fmjLZh46rA2NeFLmrlzzCKkdTC8dIVjj/FVYRMOHeWa5ctzErdVbf6Ggj55UP529bxx0PjA
Q0bpRTDRv18922RPWdc01xQGaDyfrnR79y+VmGkjzTkRLye5K/x47eBjPLYU/y6sxoJ3NUaRqN6C
RHHNPur0+s6154nvRiKMgarqcVe8lgnB7hHasKve8ImI6jun43sfJtGU3LHMEyyFUmuONb8tAWGa
P7pm0hwm68Jri30iYVpACQVP9fmXiXNW5PzajPmfe44wlj3a5vqR73pIS3gKv9955Zp58A0Nvep4
KcIvSbECJe9x5XCHF3Aji4ZnApffy6HQRFuEx6vvX1L14bYcK6dx9ftdI8CbuV6CeF5+2NQZN/Qf
XynTj0v5/SV5+E7T/gYVjP/vLxUY0LQxWOCVlJ43vBCIdwz1ah6tLWsqTNOLvXJplBqfp8u4tNQw
jhJnDKu4cPALsj4FHEX41OQwN3BAyCfhHK15zoL+wl86ocR+NIvV9q9RtU65iyNFHzOFwtEob742
CydKmTKDJHNO16ZmOvqJ5qyX2i1pY3Uts6CgmFjyTOfowYDuVLBomUMvtbSaWjYSqAGyzA4HWqKL
hMpuY8v2aMj7a8A+WQ+z+UC7PkthtLMqDBPSFjy8/eEHoyvkJSvGlCwXtsX2mEN3BIiubxwwNPpc
gmiq8aHXYWll6fs6Irir1rqzJsI1eQylmIf8QAUpDtRtMo9lYj/mo+6pH0Q4Rw8vYWO2xwQ5wxLT
zM3AjSZVPrMi1XS89lPgBM+pL0t3MRAfaplNlR1pVqO1y1SmCwAtHkVvcUsZdqUjkjpODk2wmzAM
Fd1VwPYdt3f1HOhWH2i8Hcr8Ks9BLO17QoZC6EOZefR8fYlzv+7yo9di+vNiT2biwnulefWjrrcv
AE/mmCNOW45ZM+0z3Un0c/RY9Jei/VC3VB0ofljswIt7AxJhTzktN+jOle1oo1ggF8XMaASnn5Oc
Dmivg6pJDV3YuEw1RZosIOnOZa5pUv5J4r9UQY3hGcpoyK0kkPLzagF00SIg68J5vs3RafCsfCfb
BgzI65ibm2C0E3p8vd9D7UrH1bvJyS3hvo31vDbV7djiuBcfFt0MYfMw+1sgP+yaIppjOG2Gma8I
PfHOb9ovqGzJkDwmrmpm576kK3bf3c0Ie2pca8Jktu0LGeSOMx0M9sZhgRXUigMQvtuszvGxgsBm
7GddIxnLRcQwASSxvL5/nGBCg+Ct6f1+Eo/YhpS8fQ8XAqaAz2mar0DYCkkf9AnpBfLEtgBmxCSF
ug1MKhmTpsZx1PiU8YcYN5c7U3rbpubqYJsyvubKIWVFLBt6UEvw+Oa1bX0xDA8JHVE6hQV1tIYj
KZ9irTOMFWqo6p/+2DC1CXJCpNv3bkiZsL92J8KZ4gvgFv5OV0GnmeY/k4nTeXGg8YdYqmPQY0BR
PmeKvET7NjTx6A6vAKxO133AOSvw/du+TpxmwDTC6tvycg3shocTrKXkvCla2P8pxQcNkKwlHOwy
Ke85FM9KftYsmHiWDXQ/Nf61xHsZM6dJebCK9B2fB0AirLR74NH+vgnXwBKvMAks5Y8kjpMh2c1J
6ajiMAAIe95Xf3JmXcKdl+UYHVoyY211PTaqHgD7sBvS3KqXD6GHDa+CKrOsO7scyOh8AmUuneU4
dN6Uk6ws6PxGc/N2roWq7xZJ2l0cVjlpsDCqnryTykGCwK5lUUPu99NoWXHzeYznCcpe+F68VntY
HXbeMpyRXx/7YJSO+UpqLJAhvRvo7NPcMWyxy76KA8yV3AecsjUzI6PSz5RUfTRl3r6FAl+syxpH
x9m9t5wxnOtUUb2U4QUeNr5Y9tAgwWyOmIGYUB8WNv22P1qBP5few+DT1L06xhXwFThrCa+gvk1j
nLsBHEvbrO4H7ZIvI+2dYfziXkcDtbP7tidx3F0bK6qX/uMi44jR2/pTySQFesbf97Y2C7ELCNlp
RSslAHiHm25SJxyeYBYShiqFs22SD03AOf6SK2LF2mXBuh1oVk5B/EEYvv3bwA1ZbPZo1Lfvqam/
bUM9zrbvsVw90aDt/LMNReVt/ZIYmeUHX+NJLg8zIpiRDtpqhAra+xLcpSLamhUX3IlB851O3y5J
fdlp5suHMYkWf30jri/nod+tYqpldS+Chd7YCBSSjmvSPammlwFEcVoeqrJp6NvLYbZjabJk7Zjs
yY1J6LOmFLgStbdlTj3izoEL4rzlztsNYOmomGzUIT1nuVN1v81j4qB++uEN2eCYPbcG/XvQvTta
nxJHt8yc86IR1AH7RwdUwDVNHUDEgIHzaT1ZbbvhL/+63vfngwaMrZvJNNE0Na0FFi7M89mvfScF
x8JK6WjPqFacQ9dkeioe2UBCbJSyZaBX5qM1D6HIbxMq2QFj0oC+YF+z9kSlB+rvZIiO5LRW5V+G
IZwhSFrTV+7wMSnH1nbvp7za3hWeg9uCJ1Z8BDG4wYyCdNQSkER5a1cy8yEoFk4rGv0Pv8I+tF0M
O34L5exrcYwJ8yGUjBVo980bufQf+OPBDjXz6Lb5ju/GchkSdy1L8m+9VR3X0Uf3sxsS6V4JUWr5
iTSO0Tc12t/rmPrw+JOJnkfXaFys5sYLteddTauq3AgkHOIW50lR86DJCGzrahmSPKFwNmIyZB/O
5/7qfTyqRLbbXr4OVEyOa+74vBJOQyEv930eoL8Syj0klZ4C76GlEMw3Ch+HXsa/sRxGxqpmfjDd
UrMZxUCJnHPrOW8VEpMb3UbucCx7A7tyH7fG5YkuK/AS11XoYFZHB1zMo6w8uW6m9jBYFtOt89TC
t1Qqt/ljWLC01kBYCcuPAvPl1+WZXIeXohKcPmyD78xwXEJTcHHDQEcL5P4zdfuXHtkOP6H1m+2P
7nREGDoGNOe2srU8/3Yp5kF1+7nzt091vdr+TeRS8UvOTxAGP+dmnLDYprKafbCpu04VDHCPPl2c
QNqkY/SuDTGW/Eyv5m0FsPFckGQNgwhKaNwXyHwtzF0rmdgxx6AIQuGYANnG88FJ8DVr4NO9kQ92
g1fwCBH549vNr8MIObyMAOvNctWKvPdh67t5+4U4DG1P+fzr54oogJWHtm7b/S8rdftjr0Xjy0+5
CPPYkIVPVGnvNiksFnzWGhVu9LlqW2iHK9FyrqUbKHKj7XVybhpC+kd67bY+zAlCMXMVVpbDc9RY
+Wh5XfgJlqrHDto+8I/nsUT6NAF8nhjeilaTC36r/QWwp+zXTzFoEi+qqWd/WtCZzGgQ8FuA9YP8
tjun/zBQceXG5p5fTvdVlNXhBb+NoNfLi5YLCRaEvP94RpKAgBFlj9UWHVuhsHl5zfvYPk9cg0XG
tmS/jyH5PjhU12yx8PsApkHnNrxKjO+i+iBXLAA76LVlGw+bUTufxkWWlXDq+xjvIKKevHnpgSi5
xCzOtmFfdLVgD4nez9AAXafI4P1p2acFVBX+9q7Wtt1OTL0bZ4zz8zMTatBoXsVgtEZ2IvGBgwjC
a5JvKY3O2bLOC6QbwPvl4E5oUzRSDNNwDUVCWk4j3KM2xUA7zQmTmzUmm+hlgOi4bY7bb4VNsbhY
a2JZwaHL7bfF+TzIPeoUjO7lHNQwrnnfUQmvvdzJrNmyBMv7sY2zi72MaQlF5PRp4lOpoTj6/rn3
RaPHCosL6gNfsll0A28Y40vZMWHOIxe5BiZl+3wst6F+fgN9wA280BDX2jwLFcjvRUEbDl7weVl4
f5J6drabP78aenBvM9ZuEAtSRSGcJSdy/pjM/O0dsTm4pbtF6Ubhymo32wKCiRJr5Hnas9AM/1jy
pqxnvOXGoIbk8L3CykF1ndaM835GjZ9l5z2ICi3ZcDUjTo4mfLDfo0Atqm2ekAmwGO/nNff89ItE
W4M68nrl+MmdKJWjZO1YdiCPzXYEy5243BbZ9+uMT5vm+QWupwmRhXpb0am3eTyb89q2CmsbsL5c
tqlw/ktJ4oeHU2vb5W2ScNpe8TmlRCtYm4+bdtgu1WR62+2axRklBw2XrAWbVCy9vNl5ngpQob0P
kPPEiEt7u7XQXxMe3NrPW9Tbezmhc+iX2+mmK0nmceQ5xWjnERRBdOKRSbchzle8ELA0QmbsDrkC
FXeJHFJS6rBu+8AT20M4r9/sFVtai94PLsUMfNCCol3+TvC7sSa/JhEilOEertxBtDVFpOXT7/kO
n9JbUUZefGE4UnDOXXOP24DC3351fppV7y+jYfDyOBWbIkuRdKptnmbAxcxvkQ/bQvkfJzgc758u
jQ5fDqVtYBnInJgp9fuljQ4dMmW8ZFdBqPvqDeVXNH+sqsFYLWuBm/ukr1H+ZEfUbbyqgji3vht6
K8I8r3MC6ONGteSO6Fu+JW/ccPy7fgong49fnx4ZS64MW8MQ+xz7310iAFldO55jXb0/KTzDGt4f
QI/HM7Kp+ZEOWRbCJIrH+FTr9rKhaDuhcgmyYl2mHSqRZHXRyAE1hBcxoUTi3eOd1+KShRTcJS5e
kY0GAeP4tHAN73u7e0re0EWGKWm1yCBVGsWcLs0l3rbkbHfN2CkLf+b3KczOtx0FyGUxyetabGP0
fdWqgEdPa+uWmDwvMuP72Dx/dZ4C5Xuo1CDEgW0e7Nzqvcv3vYTjZMKEI021RQ11kG0T9bzQhjF3
3ezOV095YluGrFVvC5wd5ltSJaTwwVcMqYpz/mDpbSzN8bqtvvQFx7sijdDm8JfnVTtAXMgHmtzb
PufTRIifiQRu28kZvdtXoCvkRRwxt0T250n/N8Nzmxm/vnvwMgQniWMHfsK8iTe3gl/8G3jyAXxL
Ly4L1Y4UgQJsgmR3VI2/xSkJ/A2L/HmnPIc58CfMsXN0VJUTL697D4DO8cH7WS1rYNBQNL3vsn7Z
YuL5NwZHJ7uM36+eScWhi064m3fVP8/7yF/8IYk4iZzTEu9DKXwP3N4z6edklzetyRI+5DxuLsqY
oKb9kLtmWD78XyMbL35299/bn+p/bEWiH11vZJkX4//6/Uusls41pP338ftvXxwos4zmcfopzcef
Cgurv0yAtu/8z/7jmVd8Mv3P//nff3STGLeflped+LV6s+XW/3XpBq0+zNdvRZvtA3+RjNEfJyaR
1ttE2ltd5t9IxuQPlkd2sphiDon6LVH9lwMS/4RvA12mtmYymyUZP/Gvko3r/hHjLxEyGSnl2Nvn
/rr3c3r83aEq/9mdv/41Xe4S4f4+DbBJwe/DYwWEnMQx659bBQITS5cagE3wLmlQlIVr14Zp5cpp
ptBRuvrJcmtjX0cNiTG24S5c97JzqA4HZvRfcuqn6DIcsLuDIjUIkBGGBnSBwgOKJJyy6T42dpb4
OHZJUR5tHChQiYxVgoqW4wR8Srca4TxsKS0SaUuvVwQ+XjDcguP4cZ9iFVnoJ+H0wZ2u9CAuYduD
zjvglf1/yDuTJUexdUu/S805Rr9hUBMJ1Evu8j58gnkTQd9v2MDT16c455bliXvrppXVsCY5ybSU
C8Hmb9b61jLZqIhauCUSrUyOvbRtcxBxNcNaAknUL1U28j2LO1NsPFnRvs3CDSsFPiHy08ukW9MT
mpsK51ctQuQKd9pg92FeDhTMc/riDkP9BZ3eCXAV1YGI50/ysKwjRe4h1uNozVRTXyUgjZld5Fj4
UuR6TWnY2yXTjrrhNcc8dzja41xukG1F+3n0j07vFHdWDgc1SAgRFpZ9pT9MAxqvNrhVzuFYyPGy
5Faxgm/iBki4r9DqwUNn3cUZpmQvk7l7HEYAvGQcoB80USIZsyM3liN/VqUxBUYr7mLX6fbtqB2g
7P8ytPkKu2hZO3WsbSi4nothRKw4xstGIGi4GoX56UOKW3d+YQd2BBqOOWIXki5UhZmefwKZf2f6
bmEo1eutqy9fpN7BabCGJjRThrwENyGl8kbMF3U6PmJueEPoZDw0DV+1Q6kJuTwGJG3O+XvKHbBL
G8yaWu9Oa9l5am3EN6Izm/JhemIOmOjoYNv8hT09WphWicF9ZOpNQ+eXkXXomTVZ32QIkyTa1TVi
qN7itWtespSZ1gasn4R8p7n6iXqMibRfxG1ySAZPPGps9zEMMOEYiyww7DY1gFpidZqHs4elxb0X
s/Th3wDqrRzvV6PHcp5PsRh637yHva3Bz14pPH/pgYUFexp7ESN2Uae0ktCOl+EBi049H71aNzrG
653xqBrH/BCL8NaaXKYd2eXt1YA2dR1V37F9cAST21tqHFyTZE0eqvvGbWutFw0xaW25DuW6XkrA
sF1Lb5M1v6zYutF0KyjHGCXcAwrVmQEQu8k+rJuo0PoX5BQz/tiM+XM+VvgeMYtfjMm6j+nvA0aw
5RrsLgYxn7LDhmGVcRd7CnXYEamQ5R1Mo5gbse1bbVp2/SwwHcaTdlTYx3aeL5EkRo61tjVtvr0x
4bCkUduf+qaNu13fdJkeYI0CZ0ghMPufftJGu8IZmUSrJJJyBcU82g0RLOW57Z+TrnagU2BZxrmC
qIOORm3moUnu7dqdt0LTjNDXDH9TexXGl7ZDTe3TKHoR8k+T7oGONn1jVoYNTlbt3lCOFnRZu7B3
RAjtV2l+RWO5HHq79GyMOraVeXc90IgjKjf4OHHHA+tQ5Hs6szH2Nd0bk1HtWEtlBaqW3tlbVPYR
x7DLcyDEIf0qF8OKaWGc23+y0AIrZRdbOOg40HrSJ2CBi/TodSMU57ojWtfU+n1hujrbM6K0evx6
p3zxvUvNwDqo/UzfwWPJjipR2tFDff6couVDNJX0q77vinBe8EAnU/uo85zg0eQjcyIVHm28Pyvd
//1X+S+glbnqism8G/Bz8Lmp7N5+/4J13+i7elosQjhv/wfNVT+7qat2Tpl8/JadTMrWDl2dqH0M
bfvJm7kknL3RnZQUqoagIU2YEu2rUcpNb7t8v5ZwbqXX/tYZciIyGt8ihgF9m5pm8w4vsAq9grsn
bbDuNZP7w4vm7OP359e+m7wq4RZbRhlksJD0cfl9DWv0N0/6VMq919nJdI4LJ3nVefS+497xzsR4
WN9TJvVrX4jsAyYsWwEscB/5YHVvFRrEz6kcy6AU8WAi6p05+ph+/MgNbdpLVl5PgmXfY0cP+pI2
CTuqHJ9lZngmHsnKOynDxa5jeuoX8oX4nMMPOfrGAtO+q/wGbaHj+JrYN1EGMP92jUGW8KgvWE0P
1uQ2Gc5th3wHHM6sqRMs8A0KVVs3btYy4eR7DdbnU5861gEj8bSVyr2Lav1RtvnD7FY7EhERD3oq
TBy1NYt+X0EUNod5N1jWJ17Meo1MysYu2VcHxnbc/I13xzaRG90z7r14eYWYhAgtbzt043a+IdoH
MZgGNs9mQbLinTNv0k52Kz/u8409OE0Y1Z6Fxu+Wz6OlDJzZpq5KL7GPvVX3Wz2pGM6w0EDMLIDt
xE6861xu8V65gFvnXn6I1jDXOKfGVaTmF1L4Uq5//ZSb0fvQRV8OM+6ANN9Ho1PthXeJD0VgrnaE
bZZhNhDIMguO4mFJ/HBcvGIHOsB9hio8BWay9G9zIptQjEI7dumobfualKuqMyaWMMne8NuZg9v2
fk16v1lmsdNx9JQztBTEWctDD+DqCMNl27PRGRVmowYHxp2Za+LcOFMSeErGbHVS7zjTjaxzOPVl
6TL3apLnCO8A0R2o51VL8rjMXlu5bBvXxKXPaGYrPZwPrZF/pTY5FjDJqnUBK+aX1JH1aXavB6RI
EAqXGgIb4bxbBg36iiPKUPenKsC9imhMeZvYrvf2PGIsztziFBeN066gqwR1pbwQNB/HoCO0w6ij
ydO7Yc/zmm21aXbDwWj2LFQ4q+uEyIC5+sjmdOKlKK2rQjaxjdUYrZ2o9e9LR7YPRu+iJBSFHlRe
4dHIgOCK8boTKBFNoJOKdApippdBD7wWwa+wq93oGv6VVJA91SCUhxSlwD6nYWKOBxDhsvRlcecX
RrnhrB5p75GkXjsv6l67mSE9buJ02DMn8hEiktaBwI7XiDub8iD86DsdvfkSkRpwRi3J9IqNSeA1
TXlN9bZeL4xY9wYv6TAqGczwynNlENmDBT0p534lKOAS6RW6Gj3rEMrluOyVRgreQPTQe+VX2lYM
ThdMDrOYZYnVfgQydpitbNxghdOOaemxe616g+1EJnaK8+p7GuqGWzLT7iDuj9ymcX4y/G7ZcC4a
e8Q1GObdSU2AdTQfJ6TNIcN4yGKjJGcAHIxmENBmspnJVtYU7gfy+k7pgg1ZNAKpbVk3Z6hjXZDh
jtgwFYHRNOndY6VS/HEWFSNuV5I+0KG/g0xE9QvWlrTSjuQdugMVCGdcwmpSyU9s5U6oyFbatm1S
IPOxHG6KGeK5LBEg61TqQbSo+b5Rpn9tov5WQk8bsti1i6pV9MX/GDGvkgVCBM7/UZfL8zjNWzeC
FIICI9svyj9YioQBFz70z9gs3W+vEfpWc8W6bWIo5Lll79IML5MTRWo7GZniheiKNEjqCHtvyjvJ
y6Jfflli8C1gQPBOfmPM259xpddXO69uqsP6pU27HBmxPh2qDny6T8kYCNNJ925NrK8lKUDlPLhh
NvM/8kT1izf6w/Kb5sOrDPKCdxn94YFY8GSlGCPyEClz2HUdb5PIT8orK+8UWc3EqYbu/LXwSU+m
tD/ETv8t/OFLJ0RlzarbQpTZkIWkDF5msclCn+MSEc5oZp+uAmfPxu1DMEzdKMJ9GWi1dx3P2Ar0
iQ0KauBN2wA3o9To17GHFd3NcXrrkX4D2IlzWVXmiV6k3JKKyggTZdiLDrH25qctCC4jbxriWSwp
lc2bzBNdRFKrzVRxjnb0diukF80m1c0PLyv4fplefcjbHUERf5ixbyAXqX3mU2lzZROJ0hyJwLFM
8oqfCdI44oURNwVS91SfH3GUuju7bXWSV4iYGntVBFFhs5F1P7yif84qkIG6wEg0y4GIsdzVNj0b
Udb6Rc5DvzQPCE3LtRd7tx/1p8W+AnerO9zHwKlCmbc/Va9R6LZdueqaitAka6wezUQM11GrbiE7
qWseFs1s1g5mKG62IXrpmQk2AQUWYVBUSysQfu0ea5u9xRnDZq7wv8YBrFDuQsdhIIrrtTOj/cir
bldY2lNeW3tL89pDBK9uJ63UvRvz9qyBpd5qOEsOho8zCzQRmhAb5naPfm2D4Mdc38K1torLiPPG
sKqQJh1tj0OAJPVkFsh00R+ixNJe1Y2PMEYTovfhw8Aj/MyCcGVLu3noNSt7itF/bUe7QxwRNYzR
Pf27ZQt08JmIBQjwGMFrd4teX8D0bZVHpUW2YbNumqzagxuY90ZtdStu3E/IUSed6/oaGa4DxLvl
d4QZRviUf0CcAKkggpsF+GrGt90XIT7efIvQCtsKm2L7pGxZPSjbk5tWy1ocP9BhAMzoaIYWucuL
JQrtKvaPYxRTnmm4sZIBtNGIdpw96s8Ig8WLlRrkTJWpj9hGOTvOr5iXJfp+BtXVpUiBAi6uE52V
ofEKizw9UJOHGjul5om4mK6u4nslrIrNae/cpTXLmbVb15AWK6nOjswTRNCWc3Yss1wnJb7EjMN5
naCNQPNftpfUnMtt10wgrwy6+HWiL98VSqggYzN6neZC2063PpRixV3NtnRovNvhk6SiifLNJKjI
gN1D15Pg2tLkJxB8KiUBUomMGHPrpg4wSB5sJGI3hpkqUR6hKk8dxFW6mKl1JEGe2DJvKTFsyjmz
0XGLbqvYBT4hJNKv8ShtFuoNw4VJYbPyfWg48RwfMeJdRyBExNSQM1WZBZisxN15dgOkaWTmWMh2
3CuUYCsvaTG1xW7KzmKeonu+XRqy+L3YSwkmfrgZD5fM/tGx0VhNbg4EZWDTel9V1RKmvtl/1ljn
1lXmcdFLAzOfo1OJDEPVUp9h+V5UXOwcqeHPcLMo8AZ6KKoN/2pbxfjYYyqgZ88yM2hqa35IarY+
9MLIN262dRFnw4kWVYa1iMV+BBUZDJ3Kn2q/rB+sityGlc05e26tYtmVheyOVu3kF4zg4/c8IUvF
TmruBO6ZxxJb783uUmGTJyAHgtq0q/3hRjysGjb4eftDb+3mAF4OWBmJz9PGwOC3kraTvPRJdmXk
ebZp/uNEfy/wcD17jLNAJ4mCbTK1a+VH7XaZnOcUHUyYO3P51sLAOuXERK4sQ6WvbSOK05BRBBjG
8tHhlgqJxJu3A4nHJ9upfup49Y4xrqQTqzlWeayDd1bOUnFZBlbB+K4gYcT9DlsC8EzNBskSxV/1
ZPVhlEWfbOyHbdGV5472qwfvd9dhtbwKd3Z/Ra7HxgrV4ElS8V01aExbXEd4KNCKNO9QAgocZXka
iAL7rECREOh60l8Fxfj9QLO18+pIPzYMHZBMIzFbOe3ArtzlYbldo2glbjB1/qAFwtHMQBwiiOsE
S4IPk2xTwnJV0k870jzEVjHNW/tOqYhGJ/GM/Zb25oMPW+sOZn8UMOXjooh9A0DZcGGS9tBQDm2Q
QVErZ6aS9D2OyU1oTc7KQP6ZhGgoxm1tZQkr9qi95LhBLsiA4JqwRQvQyNjvNbhAxmxxRoKg3ro7
s2nLh4WyOqwSQ3t2Je1J0k0yGIg72Va3KQFqV32j4Slazbm+B/grd/xdyd6fGCYxayjO9lh029iW
6S+0KsVHJRoDyYssdqIu++3YlvOPvuHwwYEENIqDz/4CamWtm3rxPkh5zMOsqQa0dNLbuVAHNjNj
m7cC8WaYYefF6DVI4xsxQIXqrMGOg1rUfzAaT79r2Ql+Vb6EtTV63VpKYf8cGCcF6LHjANHutBrm
rEJNwYTGZGXAAGVqXhhBRZ9DldWXKAODVElRn5D5tMBhKvWV+sOrxZoM43La7gbZU9g4/lS/z4Ql
PeDMVuC0sumHlzaSI8T2Psd0SY6Npo87NjF5uZ7U7D70SN0e4b1yCNdwpFR5a7SrWTtgeFmCvk2g
Hza8hOqErnkVlxVGGbs2vDN6y/TIOjT9tHJVENdYpLG7Gs0yu5fdIoiDIS105aLZp3joxMVytXw+
sixKmy2gVdg1JRY1Ir4DuxG9hWYLDEyeGeNx0Px2b0cQynkOWv8OzaN4YNqGlKvJ44/CbFGlFBoA
GaBtrF8Tb3wtjVjHS8n7v2Pm9gT3NDr67qAFxayZG9OP1aFOUxLqwENR62naz6FB/Ag25R6z3nhv
gpU51FHJ/CyvsRwYLWdjvpxZF8XbkXnjKRNkiWv8bBSls39vTqXBgNPFiDcUzRmjXHTgbC0vpDVZ
YekQLs/jQRLnHMtvn0IIztanZfqfoMkebYarJ5zvryxGb+oo6qFRHwPdmaYAd1XoJSYC0mFYm5b/
7hKRWhTQqjurROQrxuJJGjaaOscMIOQ9s1FN157H0FCf440BU3SlbN0KDJ6G0CIXzqGQRbOJkzop
TJMUWeBuGXhnpwWgqBpFgTk3h7GO5WOnedw2KCzHJDY57oplgypHrdlDmofWMkdc4vNLXA1vNTns
68QZQpwEm5puFPiqPp4NgwliFJU7HnDAtoYWnRspzWBhyH3Eeyd2k1E0XHhFuWZ5cYB4VIDRkdme
lHG5g+I/b+eORETdzw8QFOWZNgkfvzHZn6MAcIqSZeJZM69W3apd62sbe7TStZla8bbpFvunqzfd
o5v3WghxiNEsezAqhSJbW0iodyqBNw1yNr8t4c2Q3orIGzGwMK18Zq/gInGpOOBUYAFCbMzLQCS2
fk/qnnZOW83IVtky2CGvFP8OFnzCfn18KtPCCIxeII2dFaBEibC9vWUdtG6UXLEOy1BXQgt6qz8j
UrtlrzC+HQbk4X7v1tDTFn8jOkUfZdFkdzXX3tOdNTo27UA4Lt+M2+FpquYHv6JUTsfcBlkIojhr
2w7gXrUy/YSsXEdHcOMQVjcQ2deLCqxBVu/NOnttQOWOjfbdjLcswdQcQ30W6UWP+6sOV2cFU2he
E9AndiTHAImKPao/x/v03L6jW6neGPG0SB1AJCvTS/azFXvrJrrV7aW5qSfmv8tQhhpmjOvYWNwA
Cs4iyNE1gq15TeBcS/TtqK3QpdfealLeHcRmn0ydJiVBIS/3XilOUvab3qzf1KzDty0EbXBLlqWd
vvZZWoe0D9HKZT20aW1AcsRktmw3Fh2adHe2s/ppcpDyCJyefLJ7qjBgrqyOjUGVJCpsLTGFC8yx
MPManBw2072kgdMZ4ZjDnGA9Ca3/QZYqvQdmmjVO6ok3pn4E1jOscSuroEy8/mh76rmfffjkQ61v
ykZ/yzwr5mjJx507+E+1S8nVSms6Ey6JRJ1edOuDzT6gD3oQbsN2ZMLVWTAZt5gCaADF6yndONW8
8U3IB4lPEi0jEewcW076IcilSTYe1cl+mHL9ifIx26b+F/gl2O1jxdBX95+oI19RJt/RaNTgQOrk
MR2q75l9ziUn72Ez6KI625rxLSLBoKkJ9BRgMuL/LTTXaqcAth0sb9ryxsTbO3BLYBxU2/nWBvhF
tSns5nuU5T6pzeeojeyAff7DQiLfIYvL7NRBp4xJnQ1Mv/pwMYisUGbiCU0BYibImPa55VBeRLw+
tMqrTkuWHeiS4oMS6OtMzfgqjFvIa/ox4t89YGsxdmSYFrvSx6yaU7AeMYmD7aZUO+lujuEx99Su
x+UfzljL72bL/LZgmj3mujntQaPMaydB/o/+Dc9zldRBnNywfQassngx521VDT9QcpfpScUqSJMn
jnS1L0pyea1imLfIW3kscIO/N1NjBENNtvGi91DcPXsvbxYmoEVZAMtta1XlvlDLj3IwTnBKNos1
Tag+h0MBAK++2bdTJ8o3RpH9mGv7yvXeT5Yd3hK6CfzmNTeTUMDUddvn6SOG3gDtHkk0QxXdwzXD
dglUuGv7mRDQ5oFN24M1EYFpJvvG8cCmEAnMuyY0ypG/sG0ktg2EPENyD5L8RYt51Jtpn994B0s7
fOcFoYyRZnz2pb53eBpGbo0tVOFzo3t7zfQeDdiQ69EuD6TPHhwrDwW88cXPzfspI6WW/doASeCW
tKnrhwKSKf1k674kXfXmgIPAgtf8aCft3snJ1jb6R7tNsHovxl6xiUzoFkP2vM2bvmSXBHinViKk
c3pyrJpnPblh5Rp/U7nWxTIg5xsQzveDH82XGO5tLdNo3XmpTdYlToR0ZtdlammAxvATPK04aDCT
DyNcc8qs6M25VRaORgXl4qJxB+g3RJL3YTFPP8pER5y/RGeTtsXBYBIS/MXZwHNU+IINbu3fxSwQ
Nl4rDrGX+Me2J9x7NVuVeGUg5tzYGXi4I6kI49KP7UId59Jq4nOQ6YZRQ/Nmd7O8n4SdHTQQjGdf
AwCMzTFjmnqTp1nuljkLOcu95m6kWQBFYLHYvNgogD/tloK9xzwTcJNXxUfqOnTr1NV2xJnfWLMG
/gR04kQppzX5t+uO9rpEXMFCBmwwyvAYXCOxO5tSJyw4YvSUjLYILX4ZV/hZWPkWb29KEzsyAmTx
oTMwSY6ZZqSjeCQyPd+B0xtDux++7Dxn8sCSipnFCkX5nl9wTTWIO38eqqDFn8Sh4TgHU5UPRumO
rDS0TTLML3YEuUjkkuxp/d4dljw0RQOSI2pfimS4V6MJxUJAQmjY/2sErAetEXf7CrlwAEXjq4tb
g8ZcH7bQOOunoR7FAZbwg1zcvRf51mZorQgbPND1wV6usISbsOzG+tCNS4DjC6lUZfwYpdevVdtk
a4fhfG/r+dXhFxWI2VdlijcRXfh2ZjGKaXoOrMTHngrxJpi86JKX8YOobhZyAeJIAm7i7bMbkwL8
R4xkbXDee894HwgHXZNGwTSvSY1Vl8mXuB6+4DMEpBqwSnGdcLTjlPvYuk+wHCB2w5tSFPoX6RAl
tGsP3KBgP0d0gaB0MEOUUwCVi+LYyTGIB+Xusdz90GqWEWSaUSrKS6cpCzxea2yWvn3wIoOW23mQ
riADYBJT0JGtcAKliIdMMt4eS97KHJ8WSny0WCquA3bQyUGOqb1Z4M3s/JyynfU5w/SIJlS4dYmN
03sx/Ky/VE3unBOZHvsKcLqo4p0RYcWwuQ3124smosEAwYaJoA/ZXKarEdwaEyA2uLmZ3akbZK3u
dRNixVytVZrmm4GFfZjYFAq5B96RVXm6LzyG1rqLb16jLVhFxXhyCvtxRHEWTo66tlA/VrrQX/o+
01dEa9r8o0726Wh+WBNjjLo8y7gqw9msirMe2wUFKMgKANA4WmaL7qaEsMoUl8YuZSycMfe0XkAZ
gbe4r0l/tn4u/wyCwIhFF7OQAry36kHkx2layEhu2r6wwCBbcNXRJ+bdvvc0wzi1TQdWh1EFctwt
CeD4IcBgkDbCHL37yJqkYE4v++U1YVQ3XXtGSSBqf4dn8C8xSUr6zzosPHdO7nm/R91dB8ny1/I7
qINVe8O8vsSnvENX2OUbOMAjjnxALapel3F7y/Z1Os04of6gIASWkvxoGxVbF+nYonkwWYpRTXPf
5+lpctJ6eBi7iCAALYYSGAxolKoDoE1/2PisuxneOz403sZqR31bY/xg1/zPxBQoocSnqCniy+GQ
YqTlWHZ/cwdmdAvAjEYjnYClqsl+w++z6AciVxeyebPJNmRI3eN6dyniCe5jVWruyiCIIVBGBubd
wAx7j5rCu5AO9zm1zr3XORUUnNFdF26VbmXeK6JIQIq3WdPu+iiKwI6kQ/wOKqO513INIkNXSTjU
JvbNeK1XhrdH6PGwjMJ5KuP8Le7Exs0SBuAEQZvlMG7i3Lr3VPltRUOgocApV9nc2VcW5/Uh1rzG
W3MaDssL8mDP+zV2YAr5/NE9+lX/rBrpcsAkGy2OvhJ8b9uyELhLu20zUgN3xYkUdGI8MuMWMY8x
S7nJwhIGvtEkzA3Li2Lfj/zLKpPL3ijrIuhaH9mPkNNLuzi7ppvqYyRNmjfK3qMqAUWTW24eSydJ
AnG7SJVTWYy+u21Hity+JwB6C2H7s9K8S2L6JT1Se1DErW/pjiAol0s78Vg6SajFnKOu2aDjTHhC
lBQG9kLBeTyZ7rmwdTtgejkjZciivTZ29us8DTE70OW1kfl3TdERyKnbZv0S7USD2SmGpQmZ1cle
q8b/Nmcv2w/1cKlFl2/rUT3hYJyOI5Ova9uS4unAXNxkqf5eyYr48KTnLWNh1Vh1SxNvMhq0CpNR
Vn8Ij4aWCPCNPbEnh5C+j2QyhRXaNZqqlkVEOx9Y2lk7gjaHgBjoJrQNNW+LuHCpEsTbkGR0ylU/
XYGfgwpzynjtmnBraWDjFEWDf/ZE92CTm/dEdhXs5GFxr2j6/B1iUBGwXGm/SH6AgUlwe+i3zsRu
hmT7fkTj1XU9vUTGpjbpzHiFIwrrlW9pq6Frqz1PO3NXzzumiGm+WxYHDPeX0KqIVbrzzFlfV7nv
YMjTgGxE+Y/cpf/sU15ttZk95tkIAtqbvJA17CO+ILKz84i1rt9SDYpBEttcZtNLbVslxQwaqQML
7wFCbsO1vxlUZmclPH/5QB5mfhY+sfVX6dMcmkz1SZcujAm1AEEw/QbdMFBojKKfy+gzD8TX2Ton
uyhJB9dgReWpkbJhrJtnlG2w0JiArjH6kQG1dIfldmStgODkZ5v0QdZh1alALrhudWYujd/0gboV
N0avLTtqjuwly5tbxHmiDiZhQAcOMAprLyIepGu4D0IIKQrOMxA/Z9UTH6UfDFPn6bPkMHnfNH3g
JMbB8UM05tWp82FR2606THFtP2iABg/eAKB7SjT3Hj7LvGEnkV0kjuyHpKm+yHExzzzE1TovC+1a
57hZhddgxtfsR9YiW0bHP0GLeoHWZSd3dDgKF9u+NljtxyA1Ii1YXDjyaICSRR49N363ivqZzeMQ
zOmCglnX9llEi2ymoFBzFnn2zGyK9/DOay3tZ9WiMah9/DRzvc3Mql5P7aL2nBAbx0HU4/GQhCU0
duKcitwmUj0yeDMj846F/jj67Pb0wtiy+QLgaKtjY0tzb1oE2kegQkhSV5vFA7DE5rNP74UOnGqB
xEQ1nYhVS8ovcKE5fTYbKS6xW4qexrCX6zojrUqQA7I3khwsdmJ2z0uWv8Dl5OU9tN80QPIBCR4q
h1o9Jhy7oMfqafoJVuGJAVG6Gdi3sKl/iEs9WUfw66i/1RMlaLYqdc6JdsjVhiikV7hVPuPZQh2i
XuenMSQ7ceVWt+5CdQrYyGqefJmdYsdxVizQxbOVu/a5UE6xQciQbiffDDN0QDMELLB83orPZr7l
ZRB/qsGtwxJ9rTyJpK3sjWlon4PuuSFzIm9vTmRmewNUSRVxh2GorZ9Uh/0IPRdx9Jnj7izUAVB6
5SzXBoa2y1LLd4KZ1BlGe74tsn4OiyG2jywj+4s1Ebww6hURYFMUNEOaH9sO2eoK+9tPTBoohdpQ
yWnDRP80mzxpfvuoxho5G0uLXdmOJ6GJAFtdsistBB2WXAyK8SrFWahDGRvMnvrHR5rh1tA3+l2P
8ofV+wFD3m5gJWfOsggwsMFzQBHRZ8ajH8uLKJtTaaJ7XWBUbpoyRmBrd04Owk0MYbz4zSnLACrO
PVE+DkqloCO/CeoA+Ck3iepVm3rRru/sZgcZfsP3RfiV+vNLCYhrXYiEcT5XiYSLGFlvBjFzyh60
XnvRZD6z34Iv6jvANyW5hbzqnfsaQ/cRywc7LTbmaVT2Ry3HdooYdMeqbsJ1SEle1wwqrVwntCj3
IIOB9LYn7csy5selGcy1ZPwe5t14ArSvgbxwSDOeF9pDx7N/3obPe7WIn0YmbW9tuKMMc0qFlTKW
ZV9xsc5RNUAuWf0Wf/9Lhv5vAuv/rVr//y0R2P5vBfHrJC1+/lU/f/vP/yWHd91/2AZGoJvanYTJ
f7GLgP/9w7Z99BB4O6x/4n7/QwlvIKD3Idh4GPFdmDa3yEiW7DL5n/+DE/wfAIvQyBvIZDkKdOv/
RgnPX/VXNwhabGarHuNmm0fBtH7zgP7iBkEHZWF8nJajQT4j0xevdosrquQiejarsjaeSVurP/9i
Ffgv1PfGH9p7ndcVZGI8SMLCEQK75t8tKOnkxGUUF95BrO7i1cPr6fJ4/dctiW/iv5b4c4X+7Yv9
+Rm3pOC/fDFSv2yosbl3yFdv70/x6hSt/s6L8ofR6z99jT+MXkAuy5ZJkXfow+vb+ek+C+6X9Q99
9Xdf5U/Ty3/6oNt3/ct3oZsqZmfmg47Y6oKnJODLsD78GzLPnxyrPz/mz8xVgnwNPav5WXKgx029
FSUctSW5FcvYojD2WGXgeztfPMI9WuP8o2R21hGqWIn21bIPeekzzxqC//52+Ztf0rndTX/59vb8
H5d52dzd+evtBZ3T/+NH3JBFf/mIlgn8GBV883L1nqyf5Opirv7u8t6yZP/iXOKONz3LFBgXof0h
e/jDd9XEEVWsL+S2FjbJaowPcLVb1qpl9P43uax/pGD//iiXwSXUNINTxL79KX/5Oo0WmaiDWrnV
yIZ7ih3vUFF47pDz5gcM2nKFIkn/5yvg//i8/XGQIOQxLB3qlkO16HCc3B6Wv3xmTqu95DQYOwaH
qFB1bBsO1prbxLY68B5O/yaG2Przet4+ENvw7a61HUBSf3xJxtGt2ZkmH1hirDE720XB07lr9AIi
GBrSufK8jbYyQ1ObyFYcHadrdr1BEFDuxy0dsFQfTaN3zVoaxrBGCe8FRZpOzGTTaQm0KeJ9Dqhm
1TulfxYRG9+hTOtd3DXelrhMSertKPaICsoj8XstKyRiHa2hBfCIJXc9Cz0hCxX68fy/ODuv5chx
YE2/0GEESdDelmVJLbWZtnPD6GlD70H79PuxdyNWxeIphjrGXIwmGgIIJBKZv7Gz9Fh2mXm6fzLm
LfNyS+lQTQ1yUlM1VYx93EWMKyT+N+h8o60EZBBHhhQoZYHn7CtHMYHtCpgWSIzBlxLLMKdQmUnU
qTqNVqbve9PvTrXS1huj3HxOV1MN23Yt3YA8a826+C/3D88oXudjZpykdOvPpZMrDzxx+39abN69
+xNaGQo0OwwibmWuWXOxbHriZ3ZIjfg0BnYO/UhJPo2ZbI/OZLQfXj+U61gAwFyT699cnApYFE4R
wWWk3BiYR5vS0EGj5XPC3OX/+Sv8rwfwZjMgHsb9rVH4tzTQWosF5CU1lT6IqhP6GjjtOWV/kCkO
ZfcntAwtAhdrmM2kJIKdx1G//kx+00aN7N3Ws31N/42Z6sRTNTUAmmBm2x8nqAz/uE3nphsRet5k
L7c6pi7CUFXTtGfepxCL2al6iFyC0fnnIOCdC8Atrb+mZtInUO+j6Is07fobSrL4yaVaA0zo/qyX
wY3oRipmWIDWha456mLHZJke4tPZpB7OX1WwnwJ42t7QFABLKfKoH3SUx7RXrrRBKJ2PHBmgi+HD
0m3ByQZAu7liAdcpIo+oG3wtLRB5pPgw8RAEg6ZQyI2jsdxEhgmn1saEQiOwzIqb15/XzPwpE8h5
e1mOemuomsUTsPro6f5yLg/gn1FcslihW4bKJK9H0SyN4kFCh6uSTfaoZTy2rBQWH5W6LbnBlQnp
KncEizk7ayyTh6AztXGANOLhsMwzzNaUnT1N3fHVE9KhuhKKeUbbqrPYnXEBlhpCUun1uV6QJDUT
FnMB7s76gWqGZbx97XDc6UibmRomHOYNhRuHen9IdDl4Pb5fCIWI8NFBPW+fwyR5vj/U7fqh9W3y
DOHoWZa9jCrQNWQRmtboqb5fP5s+uDLK8sNGKr02iusg10B1FW6Qql9vCAWtgsDOmtHTqMOfZB/V
nlLl/716KkBCuC7cWd3U+iMe+iJDacBbzNLuvVcWGObESIBgHIvhze/7w9zEClYLfjoS1qQnvO0W
ewFFKQoiWtp7CnvyrQ2j/41OK+EJa9uJmtcw/rg/3iI9ZhfAfOHrqFAloU87y8NkpmXQjsXgodQe
vLcSqRw1ARYEMYbqULl9cpCl1I/QD6yLFFGx8eluz7JtY4MCpWkmeqMqcP3pEuIlwkQd6AQzUo5+
GSmU+yEw7GZFok/3p7qyTXDA4eKGFoTdjbF8B41I0+Sd1nsB9AlkUFLqfXhVRWIj9K7NCe1ijHMo
D0I4X2xH2r4ijoU7esNo5N9ZUbvxHBR5tXPBYMXl/qyWz2H0gw1WzxEgUSG2465zvYQNYEqkTFLF
64JeOCdILJXzDtux4jNoeOV5mvKs+RZnrvOxx/H1Q14XwjlWdPQD1NxSN96IzjPN/vqutUxUZE1d
tZBW5pvOn+HFQQkGK0ZfS1W9gHXoqOOiBn+mhQimWJ9Coz5UcjSbY6ST9ILjI5c7YYiFkrgR65Bm
KdNLIDTQtYZdpsx65AjvKp+1IBrfIdIu4sP99bs5APy66Ljx6tC4pW+WD71k9FhRXfNiDJR+5r6i
guHTW8w6a9187PUgpr2HQ1lr9/ZRV8d+IxovUyJ2CLcvCE3X4utZy4edLdvSNDIkTMaZhKjnrrHX
sCo7iyyrv/qdEb0BGB1tbJqbLcqgVG6E5pqq6hBsrr8RRm1y0JFQ96Io7v5N0CTDXieZXUI7LG+n
/f0lXh1NcwG8MclZU/t6tLJPhrqzzNHDVLO72LHdYI/SVIAZQ13d2H5ry4nHFKFT5+g5y7yHY488
oOTwpVKB9sOTizA9Rq3nFlEP5F4fjoNtB8bGmf+T2lxlmPOKcjtwf2OnpYlFjhdqIpxgxkJRLOCG
VhNaqGddCv8drJPe2MMw8tKRQnJpJ1/UoC/fGoN1DHLE4UVYA9gfuuhJ49mS0jMKpL6RmK2dSdJA
DH1MlcLZclWUyFZSnBdUhIyliQ1tM36kBK+goyZnfgH6rR/uf/K1z+BSFKRsbPIp7MVy+Da0MBUj
B89MLeyks9yFz9AUn0oDlZi2Fsa56C3l8S8GJRBS3AS1S75xvc/UVKBOE+qTV6U9qIgcsAVoJb36
R4/q8EMoVJo/MZwMe+Pjr+xvihdiVmwiWvGevh53qMBAgmNSPaTWYL0lQGIUlMg656fFx/3y6kmi
FEGiYxkYgDpicWErg0uvz7ZHJA1UhV0kcWA0I6t9pvWYH/k9sCQs2+a1idx8j5Exzuo/yOa4i7vT
6kSRitqaYNnTcNjVGny3vdrjuXi8P72bS/rPQETjeSEdrtDrtXSw4xE0V2G+xDSleVAlXjqo7cYX
WxuFTrXLpHSuzGUJWYVvNNCH0Tw51UV3QLsJG3PNNrNsY6ClnBe3MwIxOuU0NEdmQZtFpM2t1FX8
BIRmVasqmFoE5qtDCXUOZ+pgXj4ETrKPDaZxDkIIMkK/odYbnCxDvEf2sk9Ve6eWkFi8yInMeuPX
W1sHMnTbJjRTELPmuPHirgbNkpdRVmpenDqlC78C3RWE3kL4+vc/69oReTnQ4rPyVoUUhP+eZ0Jb
wZA9rxR1Vw5V+kGrK2Bm90e7ee4T4oC70NZ1eLZR3rqeVlVJ4IsJXVtTgTcZzFxD9Pl0cB5DBmmq
sd9GtV4f3Gz2lLk/9Eo6AZuApi18A7TRlvcA2noJYGxiwZi5+UeUt6W6B50yfOBeAGKfSld9E2BW
94CQUbkfO3RoN36DlW/K8465W8jboZ6w+Ka2XrSVazVQxLM4RWlSbZoeBliDYsb9qa4MxM7m/clb
HM/JZZ0YvV5M5BOJYADkzkOalrOblcxef3XxQiFD4m5F08laJA+4Ava4WQG2B+phUbvP+sE9oJSd
/SAQhehJA6z+en9iK5sVyAs4Ok6GQQNtMaSeFCE+8qntFfTOD3VgN5BDEHPiCehvvH9WLmaXW5JQ
N+fMVDCvdyqZkYOkjoazQiblv1kS5O+E6yvdwa0yVJFqUEDtRu637AfNIQnzMjYo0FXKssu6r4k+
6wgn3/AyfarsE4oWGMmGVZa8q7Wwepz6vPwQVEH725AwE0D0Rdp72spWcbi/zJq1soN4TVNuJE/Q
WOlFcKQIb2ZAmy2vk62L7PNANnKCR1e9V0AiWs+aWov87JilBMXfunWNfoxu/pBosqknPZFWzAnK
O/OIDVTyOQ7Cqjg03CDFBZo2VscyrUMHyoSQn5FXrtt9FPl6dAg6A51PFEb9fwrQRV80Jcqesdts
qq9iwogKYKc2vM0su0clpxFwPDoKW9YZ5p6POnkaC+Q+dAX0SJhU0tlPRm1AnetGG8ysk2k/67qT
v0lAq+JNqJtgS9JeTz5X0KaxpMukjWpW2hQfzBaQMcrHijrtygbI7LHQpfGjc50eJJLq40Rc5RpL
0o+K+7VFkHzYm8aQ1IfE7BTnNHAyehxD4gFp0ET4b+kPdcWHWDimf7AF3OSdQg3OPOFUDsvO4BGo
7bLK0f3jlBvDv5oMFYk6eFs/dT3g9R08H3whSxJ0EAqa8r1BWcW5IBbQj4faNcfPEhGij9jaw9sW
oNQ/iihWfo2g+344jTTwgehE/96CMo3J8RCXQOF93R0PfsLLjjR8MMV7OMR1cOhG3X9fIyw6Aj+Q
7juJR8ps3zEjAnM52Lsu9svn2QfT9phT96loW9N/a7UBt4dpxWp1TNEre8a4owSeRz1r2NfIPNZH
ZO6zf3uI5+IsGif9NPS4Axz9qm9/Gmo3BnCJAqg4qLrgc2/6qvnDCTAo34mqzPPHMJNqvrenAWX/
oMDdmtuw1cHVtvxCpyYLHIQuc16l79WpBymW5RUITqsbwI84qVDB/GXx2O2lrvbI0IoOtiZCqboH
SLJQz4PuFvhDo5csDkHVq8luAPb7o4B35u4STesRkrTrLntwlDL9PmTt8IMUcrqMiHVAzdF0lCBM
varFaZYI/S9w1OI/Q8hMOxV1m4JA8lUlRybUUb4qgWqBZW/S+n1JGkEW0WLgmrDPgqOjyh4wsCJ6
2G4qwjMHGKC4dwZckr//B32LfmjiCqFLpZn/aMw5UEUd8RvayApW7ulZsM/UbF6iYFDnn79IP2JR
upXio8pu9AKWSq2mVXJMhiH8Wgdo8mMxi74SCE341D4CX1tP/7XwY3JBGtTbACsu2yuZUPy8V0vd
k4TJ55qOxSFL8cq7H+bmEL54GfLqnefH85A2zmKSw9hKUYhM9/RG6QD7kR9w8ztqm2GRyg2aQodK
7f9Ce2yK3/eHXrtduJ7pi6F4Md+i1+tr4L82pwr416RxlaEaYo7nRqjTB7N0kGhF1un+eLdTxQKU
TiJ1H16b+vJm8SG5gULvTW/yM4k0c6eAwHIrLAPAKk1QB5TGnIZTOCmkv/eHvt1KtkENRXeoIdIv
W97ZNJ00OIdDfCnHAE+CQtrivyDCkAYkZe9UqO/beXtscbnGjCQM3a2350oZjsItrbr50cLbbPlw
ASGJro0VZxcLbeEAzR9kCPZ5hM4c1Fzy7KPkSQfXQYka4dEHKJVTh7QFyOlGlZ8MFbLixpLcpjG0
8qhpgRYgBWYbXH/9RIkqEP7IR1R1Qx8aqXb3cWw086GrI+f7/eW/3WmMxVnG+AIwHU+d67FKGI95
gZzJJcfx8RgiWnF0NL19Co3ePZkObsn3x7vdabxZgAyw5FSuDVtcj9fBwXAilA88J4qTM4ggZ/ba
yp6w59HOMAm13aiKZuMkryzoXCCEMsAcgWMsBhXqADbDFK5H5E6fucgb2LIWCMoWw8b787sNTQj8
EjDYE5Z62zipg9CyJXQIrzBLHavYNnmQQOxP90dZ+Wo2zRlXp1xLJ3uZf2n+xGOhbAHlqKABoRAr
/zRh3x2jXu05pVq4UUXQdT7LdSwkk6efRm+Qo0I1/vqzxcjn9QOvNmrDepFS+nIIf9QzRPU49JV4
X1Q5zJ0ezkIG/RCqwhmGRPi26Wv7XaQYqGg6SOPh3+rXykdMt5sALrHI0qdYN3LQqAiWteemNOX7
WJWd/2zjJfdN+qP7aQpIhTaWb2U/AATgtUfrzjG1ZTc7GnVSSwzQvUHVB+RjNL8Kj8JlA+3GwIQ6
eP9rrQ43QxxchpxLedeLpzSOW04gf7yyap0RoiaOXkeqxvVHwOaF8upnJHCcuSGp6Zo+x9Xr0Sok
sBQbwocnM2jNuNBb31orqzewRiv7nFEMrgq84mzuqutR3JoR0nT0vcJSgM4riYjbT+pgac7GQCv3
A0ZYOt1V7ok5IF4PlNhGV1lG6XuTHaHLRrqsk/3BdKubNjPR/8F+CL5H+CYCDrtVFFj7cnM5gOcr
216d8Zgv85yUerHSNbrvqYqMPpIRSf1rEov8k64AEP74+m1CaZBHHm9YAGOL4kfQOHiCDJ3iKbVU
dl0VuzGc10q9dJobbZyAlQDCxqe+C7CCLOMGdjMg4GugV+cFeKKhYyFxZwj0/oRm9H+QUbuNqLgS
9WlWgPukkkbDd9lORtFTDi6OOB6t8fCtrlb1wZoQ/GuSFBp72SmXGkLlxs6ZP84iZjEop9acyznq
8mqTXSgH7m4FbZXMUtH1wFRhn1RaYx5bq0EA0UJkGJu0KO+/KzoW53rTjMarS9s2hRbQf8ya2tKy
jIghkoXJeat4FC4zzUMXDmBYF5joh6I5NKqHyQ2CBk1XFI7vb6e1E2qDM/6/1SSwM9d7l6MYdm2T
KV5aTdZjhjrBPuA5uzG/tVEczib9L9JVSqbXozRKOZm1U/BlE5x9dljozhpyrdvYGwOt7VjnT4JG
65sGxWI6VucaSPWHTMemmhS7EluTqPtpBNRc6yDbAt+unXyOhTlnRfSel8NJN4rTUjguiJgGeWj0
QGk/SdS14u4vDgc99Ln3CiyNrbII2I4JDlVvU5SBEwk8rHXi9r0aZgZIxgxKD85uJdOLK9d9fRAg
nqK7Tu5rg8FYDDwVbH05MccWcWKPsiw8Ym2yPiHwST0EaY3j/R25sqasJfetTY8A597FXjFTiurz
YxJXCROekA8BCidvQfGxaV5/CdJkIYyqIOwpci4CN638XCD953plbEbPqZ6HD63VxefXT4gUjMIc
0EX2/mJCAdCAviCT93AUHx6dJpZHmNzBLzfAsu/+ULNA/jKacTe4EAoIaQ475fqg6WlZa30au17s
NmimUl85oTUMh6VWLbifPvzfVGJynwYtKD3Uwnel5Tpf8O0KzohjOxv1z5Vr2eWtSECbT//Nsy2l
sJHVw3z/oyhFo9ApynOBEC4qAmjjRkqQHqPaIuPjQqs21mJtH6GYyqGcz8tNqzgCPma3GWPTa4Gs
1lsDcCgnN0DlWsowdBt7aXU43qiEHQL4zWM8EnALc2GSLSpueQmtQTgHtkT/ri9HONr3v/NKmHNN
h6yef+OSvkx34Ga5PfoKLukOUGptGFCTEbrY+YAvIMap7sZ4K0VlMlM6g4CUdf5a5sKYTfWQk6Tr
Nekkp10mddQS0N0wUL301Vo5WYUfxI+U+ZvkjJ9jB5M9F1FFPRThwY0D9eexvbiz+VWoRQh2FZfK
4kTFvdEYsWNAwIp7pPxcijAV0txZEb6ti5pya5jGqPb4k4JEI25/yWMHHfQXonLtVwShMQ+s2hSB
TmdAJ5J7Qcuysypb+2GkrI53q49i4UZUW/tic3bxpzQ/dyavD2buR8GgTqHvQYSufyFOF31Tk6T4
Bl4uHQ953KFhdX+P3J49nmJ0ysmKXZ60y1Bgc87NEP44oICpr84GnOpvOPQg5wW6IpXHBuHZ5AAo
x/hnahAV29gyt1e+o872QVwd6vzOXVwbrdkk7uQnDnmVqN39EKAffEoGAH4b99P6QAZgR2A2BJvF
QCHI31YGju1VQeCgXZrml1Yaw8Z0bo830+GWALBGsYU9d/39mjSo0UNrGCUJ05M2dcYhq/PwBC5x
2NjeqxPiCQT5CTgiwMfrocKxaENwyraX+oBoXPgBXql37f7+9lidEGkEhUOqOmRl16MAslWnZrRs
L8Tq7tC4WrWvOxURawxE/2bteEpTjMRW5QYAq4vAjLAwodRPqNhjUzAeS3T99tNYaH8zKwckDLc5
199y0+fY4HEZqbY3hcMXDbAQQOy+ga5f9htX2+2BnhFWtgqZBfgHFcHr9YtMUIaTNdgAuwp5ibQc
gy4MAfeDm+twnYT56gDCnHgcAYAVwMmWtRUUdfUcdJHj5YhPPBQquqVVOjXHXDQdXE4sp+7vj5X5
sdsFh8rR+XvJg8iTPCRxQOKRtpf6rqXV/Z53Gz4WftaZPzBMjvWNl9jKjoQDAXgTwN7MUlocsaCX
ddIqpeOFSjvuItxwd3Tw7cOIKN9GbFwbig9HckCqiV3nYvPbspDgx4TjTfnkPISmbA60gIZDbuTd
xlArp5mqIQd5ToHmFPB6nyRuJSzJpeOJjiqtrBukdJCq2dj3a1/rxSh/7u8XrRYBpbfEvd7xOBqA
L5EGp+c3dh9HHC68IbOsv9iNbHoq4jahnaTnelaYu2sj3Vy+VTEhR5IX7vvRGkYkFYv8ZBix+voa
i0N5BX6Hy8agnLQIiorT2dT4CsezEWE+2g2yLBaAPLpcwxabZP4i19kFRWC4r3MbnSqwuxiqNeOG
hCBnLWsVSjVeFofEYEcm2YSEXS9Ur8T8Y1fBVEAtoNZ/3j94Kzk84wNPoAoCuI5+y/XaymJKQmGx
tr0dwy+P0Nf/hTJdixVN5NgIRulWU7wb8aTtzw52OBUJkGj+ySy9eSgpkdFt7sM429jHK+kEsQCE
JzwXMFXLnCuvx7itB2FTdzJHdH2sQnuKa9/+3rZV0+9pO7toM4uu/a1VJi3g+4uydorockF0ocQG
k3Cx37IZGl25JLxWrcz6aIhSQyNWLvdHWQsLbC4BbgxqJH/A9cqHgW0MkULbwU6q8blGcfYYd6Nz
cIbyx/2RVhLqmZzNTfWHscR74XooyZGaKPA4HpCH7m2fA9bYa/Q5rP2Qp9Y3I8cocYesSn9RVR7b
rtbT7ZXKVhNpZV2hSDrO3NPjQXGTpSGpCcFmdL3cDRGhTspu1435q6H5FpPlMqFb5YIuXEb2GqMV
va81JPfzOPL/VEdAYY+OTDcurXnVFkd3BqZDsaDLMJebrlcV3foZV4F9EiSDwj+k6MxXyPnXuKCl
vhU9IKNYPQlN4k1z/3uuxF+d1z2zg8d52/kYazrveZGyP9NEeyNZbfxrwuDJwEl0n+OVfL4/3ur+
mfGGQPtYVfrO1zO1C50cMdGokhii+5Y4fvlkNaFDj4TeQdj7w9GMyFGhu7rnJomzU6/Jrc2zNmna
B+wf5AEMfVk+GQw5TU1EF6tFOeMbioiNe7bsLMYcJheGOPIfELm7P/GVI0oKjlwCDXfu1eXFQ9mj
F9hS0xmUdruvJ0TRROGWp7gei78YirEo3cxhmCz5eomFiZ5fa4bccQAZPuElYPxqCM7mLszMoNrY
uSvhFazq/x9sPqgvLnBV7YfcHHnFWG2oGnuFLPxbO2FwNAAfQ/IJsdx3gD0ce1eAEB68+6u6FgZ4
bsyNfXyX1GU00md5L3dUHE/R++I5MpL+DUwBfSNlXvt2vKHmQKPPRZn55y/nmJBPlO1IeB3N+mgI
PFvw6DGOYVX6G8u5NiEqpbSQAYresmYwTp8mNSXr8tsYXwzUxQ5OjjH365cNCOb8up4buTegABnD
sUOEzAvTLDxPSVYcpqgqN/bhCuUGb0vagqTF6gy6X2xECthDOVmZ5RVVWsK105oPIy6xiB8b1PSM
BFU6fwzPJeI9hwb97R3K2igIuz1NS2NWV1J6jKnsqn7OYiR9/Sk2N77sWtylTkjfl5cX2iOL39Dv
5lQxhPbqxnq7R9sK0fcDxtyhehzwm91Y9tXg93K4xWGBS5lFWPdYXom23ndfGuInR7XLTm1R99Y+
q43EQ0Sw+AhRAH8EwDOdcXT9CUOj+xtgbUfDLiKYzU1isqLrHV0YOjofVmd5Sh/Lr26oRXvwW8Hb
xMzDjV2wtqMdklLaVHBRQGJcD8WXD63cwb+rVxWxB1UyIeML5vH+hNZCOoV+l0IVBfibNBsYdR85
hBkvDEcbNVZHPwjAWpQ5ivxdhZ3UxgKubBzBBrDRarCpwC9xPZDeSlm6vkVaP7WPPorPx3rKlGdW
YNgPpomDAripjaVc+Wq0vgWpNSUdamSLFqqeuH7gKAwqZOrvkrzUD32vmJ7emtEGiHplPeEgAJyZ
eycc3uVODSc0z6uQr4ZJz97ScMnp0L8/o56d7CHxycP977c6tRfjzT9/EWIxYZjiDstpD3+UaF9H
uv5sF83AC6GKN+6M1aHoZghqR6zlcu+Xg5224G0tLyvRtwqAvL7t8bn+VFj+xqTWFpHLfmbnghIn
O7+eFMbjTQWwK7j0OKju/KivjnXjyMcJSbN9DPx6I7maT+0iixTAV2BdIv8w00mvx+uiTBGTkMFF
1LadXqTf5bg8aVqxR8q4/9exBjc9zvoR+FjGQn+USRdf7n/HldNOaQN0Br0pEtpldQ4lR5X71wku
bdloR7Pk8ccdVG2c9pWkg9AFGxmBkBkLstgtpp5GaVWJgCRDlm/QCemeLGeyn+zasvAowpz4wApJ
VFKlG3y4P8OloBC9D7p49GhVICgmJbn5q7/YqpL3fKYMeXgJ7QIHhWEEd003CBPSN23TAzFGg5f6
4FDymkQtpgn9BzPt6HR2SlYWB91vjXM9YPJzmvUe8Bl0YhvrXsVxkoPplDVKDBgs6Ej7GtUWhWBt
4Uw4Nazd/M+yftSCIhclTpdeQBkX0x9dsU9+G4bv0miSD64KWMlJGvVoj5lzvL9ua8eOS4BO0wzs
uukm+nbhYwo9KJ6aqf3BbSf97GfowyXF0G9swrVzAHxnVmIgi7p9Y3Do1CyfULZrw8Q9VyA+pj1I
51T+a/lC/9fphPZtUPDw2EWh4bxJNF5AG/zZtemiQqbP7zmaPctOl8CDrkZmNrw4GgLtrlP7WA8G
Pxr0JTeizMpVZFA1pvg4N7mRmbnej3ESB6oxRgBr3LLFKTBCBXCPtVKNe2EGOHLXWa7sjxFQ83jj
HK4EOOo9PKCobtCtWQYcHQFAIbpG8QT16/Yp6xyMo1Hu5s1f8LMPjRG21cbNtLKwaDLPgCX6+gh6
LGodQxjppRsnigdG+lNayfyTmmafMul0G19wbV1ZTRJAsERIAcw/f3HOU9tsFU0v8DhOa4TNVSXj
NQOX86Hq7Q5Ff6AFGFzZRbb1Jl+bIWxGngF8TjoPi2tjVDXZYmJC8zmVoXNISiVXcZnQYrGzh3ra
SIFXQgJYQb6e4NogLCzW026VlKuEdnM9lHpwdqUNHdUZO0d6BULUBcpejvUrtPH1ypWgGTe20Orw
VLTV+V0MJXGxe5F5DjmuaFKSaimfNKyrsXmwG0TfG9KM4U0Lk7fw8BctcD+f+k75fD8srcSKWQGH
6j09d87QYvrIHBXaWMfhJc46u/sJn0KGDwX7rztMeg/xoXTsGFlZeza6b0H+lzvNbcq/KOzPcH+Y
XZZKo255iAHCYXlfAmfCxDJ4TJ023jlpC1XIDrKNA7TCCXcMh4bwTHFgZy+fswUOscmk2IpXVxZe
yG6JROoJ+RJkartRGCjUFyUExFZp0EYILTVrvrhZEA97VQ8wdKm6rI7PuJ3hLDFgJPHYYxj+PLT0
dza25tpB4MsQ2rhwb18pmJaVqosEO2jqvjUR4UuCf5Wuq429nyCIv/E6WwtmbEJazwRTPsbi2GWJ
j4ZWAkAxzC0eRmZVmDvDCSdxCUQZfI84P+Pp/uZbyZa4EQGL67w9qQktQgw5DnoHSH1cjBGb3aa0
i9PU4xpwfxR9/s0XeSGJCrbxLoCvuQx+HckSZ4qGwjHJWGoZZj+rINHQ/zc13OJqHV36XST0wH0Y
UfwezliJTMqlaHsTdgvgrfiCpVGKQ7JhhBim1KLuH5Gsb5/DPrLkXoquNPfYmNsjRA6rHR/02C7r
DxGvdeuXQhaGr3tWDmQ1UCC2dFpW6A0wPDk0oHTpBt8c397QhgSAa3RR3FS4F82acPxRZqgLqsij
Gzy1MWZSWLKhqLJvp4YVzkyj0U9CKOlz6SZQ3+6v9to3pVbEWUYalWfavKlfXBv4PTVqL6zootl+
eYkqq8S0Czjf/VFWjgZ5DfhkMOv0spaFi6rSna62nOiS2Wb8oJIOv0vkVOIziFXG/aFWJwS8gb8t
AsbyOpqyuI7qiSXWgwDBdoAXew364cayrdy285/NMYcuQ4a42KOpWiUqVcvoIltw3Ypd44He14AJ
ihK+WGno8inQwvL8N3NjEdHR4r27fAumUyfySnIA9UALsp07GvgBFejZb6zhyi0H+WbmFqA6AaVh
/vmLTeH3TlNYQRpfEiyMjANzpEgZ2bpAUDrJfTybfCcqn6n6d59QXYlfD4jmvcMETTj1yE4tA01Q
TeVgJOi1GGPNs8zVjT3y7eVzXqu+l0sZevfXdSWWMlW0hiCJUBxZ3upoPgQlldTwgjl5fJqABXvG
VIpDNIbjF3WIt4QTVsajnonkMCADGrvLCAeqy4aEgKd4ljTlMQ1jE0eQKD+j3DR4apX/xc2ErjB0
Xgd86W1bzxZYrdK6CHCixZh0wufzNBLKT9BHt8gpKyedobgBDQAGaNctriVCd9yHVRJcGityAcpZ
+mOlltoF17/6cv+rrQ5FuZatOgNRlkkIaqoaNve8DrsetukUN+mjXwXOg5K1/QblZuW4o7lJTXDW
HaQpu7j5pkLL+q5NwsuEBnD+iH2lwBGJB6E4lNUEw3gM4xj3pwxrmy/3Z7mCwqPLBq6Mpiw5383m
1MykwnxcC3BAQuvpDIgEIufguMXPJpT6YzKQeJ7aqfLFgab5iBAw2DfrZFtRiFN93OLHoIjS+NI1
Mwe7alv7TWvxH45YEuANpJpG+Pn+r7z2YYDYaxC8qD5QAbwOHwncJFAt3exfYeIXD3EPcww8wXn5
bEkLrtWoKXCgkzW38G/ZQ4oBHIKmrjvDmPXnqK4MEuGiP3Z6gD9NFYbHPmuGI0Zb0aGqQ3VfyWhL
HHklXKJ+Qtec1I8bYRmumsbpMT+v575r2f0uiqF7QCPDOPiIme5HI+o/OGaGfXXVbeyNlbuO1x71
CTCjPPmWbeUpxEwoGmj4Jp0vPaRBrHf20G+pjqwhJchYcGE0kDu/pUwNY9mKQYWxR7qd5JDsFcPH
Z0K24UnPRP0NGEz8RWLR/cWUHf+DEYc5b82wKIqTMoWJdbbl5IYb2ehKEKVoBwVdQ0+H9Z+fSi8u
qVRLm5DOPVjZuk6eIjuYfltuMCGJNOLqNPrl1/u7euUrA0NjofnC6Dnf4AV7O0D6hV5XX9N3ca3f
2BW+DWvrqQqsL7Umvhc5cJX7Y67EnZl4anMPgwm+ee02PaSAOhkAIGOw+K3xs3GvOggJ4rRFmXYq
f6qJZWzEupXTy9HlYcHBnSl5i3W1RBZKUl/IFm78jUqT3DcITyGoM9WH+7Ob/6RFok8qOIO5aW7T
KlgkUVZtWghFGzS2I6OL9orUkV1qrLjEy7DitO0KS5rdoQi16r+gnhp/72a18no4HHk4q8snpX22
DFZFjUloVFFQ0EpFz3Z2olrPjY3fyb6zZFW8PhGm+czLhjHhei0TYbMZgLQaFEswhMAezCyCz7UZ
xvtIdNXfTOzFUHPweHE+ukjpgiHrfC9q4vxctco3Ucb9adQwQLn/HddOIgUdyHKIH8FxXNyOGdoQ
euy3cGayQbmUeqi+mWqCA84+cu8MjXG+P97aDoVMSSxyZ5jrMl0rhaCYlla+J1ScP3YIPKvtUW9k
9ktok76F0Fw7g7yNZpkXetw3vbMoVyu1kRZcD8tssBkZoix+dsGKJAd9HEsKLLGu4V4C+narJb02
UdJwwMkE+bkdef0JXTFYfYhqiTc5MaaaLMhzXmTqXmA2dHz9mlLBo61sA/K6wWQpQ2SNTgjvqSow
cGzps+4bI1A9rXW2KsBrswIfTIUEXChopcWxxyZOLQGo215S9Om7TNUw9StHe99NGNRuBNC1EEPi
RFtwbrfeZNq97ebJpNIYLI3WflehmHBpfUN9DzQf0QBN9s0Tz6wGj7Gm/9bTmtl6X6/dGmApzVn4
eE7iFrkQfunK1GcmD8PQ99WLXuH9cpoom/xS08D/jR9w1xyCPhVfyBbSLTzf2lK7f3QrKOzzGyw3
ED082g6u7dnZmL2VmTWcSqfBFQAM+ZfXbyDKj8B44DiCwJ1/lRfhBjP3EM/ZwPGKtvNPdSymQ9VF
yYPa6H+B0YZLSf2egfimy5At9JG3lcJQjetMb0pLoBQDyG0fVvGAAWS9tWFXNhGLN4NpwIHdNkcC
M87baHIcb0b/NmC/zOlTBYqxphJVBN9GM+H2qnM0lXhEFA+j3kS/7i/uSqIHKIErmSg7M58WRwZL
93oSBcAhvcR2vW7wWurQzz/eH2Vlt9ArpE8JwgK607LdhhmzTPUQuHY7OPaprzBwdXJ9OMc1pqX3
h/qTmi7uftJ2tMGgD6xIT4SZ0xZmi8cdZsDYWJv4oot8J+lt/IdoWO9+0crUxwuibdP6V6BI8800
GNGzVvqi/DwZiPEcja60++cevaLh1MtqTD8rfWfXl0SOtoagUxFkT5kWZv8UJX2XHYSg6dnqmha7
qb5Opjddqan/0ACW9VFBOrw9T6M//nTjEp2NyG90cdL7ETtUMKG4j40yxIQ2xUJgLjtrSDlBMQ4f
xt7f1W7qftXsfhzeI8yHkyum6obm5VGT/qNNDZ4VDaTx7qA3bvG7MdoUkHPZlHIfZ7mOxp0Vye9K
Uek+KmktW8mpmvCDlTjjsCutxMgvqewq/Fhto4zA/Lm4ZahtLAEgqbTJsGEu8cl1Ssd4jt0xTr6g
kSfUjb2xcsfD7eOxzSlgAy6P94i5bdzOZ46qlrLH96q8KCJGCCs3p0un59brEyXGm4FOiBrdqoRE
pKC+2UNPNfFwfV/g7/EgS4BXnepunK21XU8MhEKFkQfqBvPPXwQu2aHwgtJscAlNIylOOD8Gwf7/
cHZeO3IjSdu+IgL05pQsx+6WaUktd0KMpFn6pLdX/z3s/0TF4l9ED1aYBXYWymK6iIx4jZKGdnNS
40TsIRA30gki32LfAG2LZuv6KFeAHXg7S5cOYNCJ8Bh+MaaxcRPkmw+JruN8qenDznHb/Eb+1kVM
FmzT+mRXZo0jjAz7XvRD47N4wXs0tMwPEJ3b4/2TvXVZwj9HIBdNKBp1q4DXWKM+DU1NXwLASk9H
SA0pWhh1bKLas1gaahmW5F6cyfoDdCvE2HDb1KrL/V+x9cHgjpaWK5Tjm7gPNT2HKEG1EI/b8AW0
rPD0uba/5pLa7OzU1yC6vsrYpdTOQcyCTV59cR7Xltairn2pSQSnz50jip/0Q63SLbNYj05ZNg/T
qVMDkT3OsYSjYEsDDZvP1Pyeosf/Ps9Kp/W1zJDEAdE0k+6tAaIJCpKkJ89xaC7WpqOBlbEUdfVL
lYnU9oamlVEfa1Mp9wS9kX/AbiRfSVWxwYaMrTzgc5ThNIzAyWMdBviIv3mGF7F5Z7GqAJa53scj
NTlJMVUJ1Zv8Ba9351xOJhLM8qjtrOVG8Fs0OBgHqW1C8HKirg5oojoINnBi0jZD3T7n7i3KeGcZ
typJlJppNdKY4TZYP82KstSdOtdZxlgfn6pCQxbDWLS8HYUpToSu/yrh4h9HM/0+9FGMYJHy7/05
3bhk+QlUkQDtbqjFKB2FTOFIHFPUAC6SnmaDW8TlfAQopJyUVIQ7oIGNY8K1R4GfYK8v6OvrqW1m
Mx2yBuWRFHg7zvJ95umOFJ87idh7/9s2V5EcmGvvtU62OiXVPGqJ0WnSxcDw54K613QZnNrYATpu
jcLDegF0Laqq66JQLCpcYoZAujShPmHTsri/t2B473/L5l5ZQHIIqVJSv3kTFrYU2+NEAV8OMHt0
oMRexKjpH3qTyrfhjPP/6FnLpqv3jvmk5cYcHUCAmc/3f8ZGKEFQBVNu/iw1jFUoGZ0hx10opqyf
jtFlgmWKUWedHElNUX52xu5M23BP7m9r0AWrBPwAbDlsjOstU9GZyvVwoMsdhWivy1LwoCmNeJeh
4ol5gqg+qV3V7lQYNoIKqjFsUC6CxdRjdQXUTRWb44iwSRjF5VcFcdJj2FaAFGctPoxSnT+OENW9
aCRyKuK/MDAWvAmmWDxwbqs2MhpVizYb55Im5zvRluKgOOW/gU2lcSHdvvmoUNcA3AEOHSbeTfsr
UVqlVPElvkSzpX6xtCla6K7Tztm/eZkuLAigWPoCdObPcpT+ulYntWqrlq7GBXtk+7nu6/JD56jN
ocs6632VaxYkvBJQIvilNz80GBpSyaLlSDmZnP56aOzSggQ/h+4y9lEnu7MZVT+bYJ6x9RVGsEeR
vz2ti3Q4j29aUrRraUtcDxdOtj5DssUNpiePRpSgkDKUOJM5/NDjY24elJJCqDeLEtPhioeH6mbq
IMipDSNJdvAsG9POA9mhZ8npWYR6rn9MkrSmHCai59sF0rIpwP38GDIb35Kqs7/bctXpp7DRrIGm
ksFj4v6dsTE8FeUlwJAeEU1X13A3R1o/0OG/kLZoXtFSWHLb2Wxckcb9UyNAdZZZZj2oXf7t7SND
dF5elsTym2aFg2MSRZZ6IAAENRolZfYoCx1HeD0Xw1mZQ/uxrqvuALQ68O8P/eqWcpWiofcEtpGE
mxYR6cpqB6BQhgeIYwyXZLb6h7Ru9fQwiUA9qH00n0d8wZ/KpNN+OFPX0zWKm1Mia4Fbmc289DBr
FzW86HcXiD3Vn5vbdBGiIuDzD5BDprZkBH8dwkKDGB0lan/pBsn8agsksEQ5W2c4CPOX2om0lw6L
6pf703GTZlB8MyhmwDjn4UNAvh60BFwTGo3aXcqslOUj8pbZpbGi+MPgFFJ9gqyo71nW3cTlpd6n
I3BGx2bh8693PXruahKW/cURvHsNNZ6OMmXw4/0P2xwF7BBiGASLG6hY29S6CIKmv9R1Z/xC77/8
QHlB+w+j8EYjCoEXWHok19NX6Zkt6piiRT3YBmLNY4Elj7PXKdj6Fhr2lgxKFvmINeytmQy9nPqh
v+itNHllPUU4p0W7Gi/LVbs6GfSzsa4C0KWQy68ywLKiUmGiNXDRB8s+d2oR1gcRmMrHJKyM+FAC
jscPvRHG+zkuio/4fBb2AfUrbBWmMrP3Qt/N1oS9AY4EFXMSGjoKy/X193mw4PBbSjUv4gSp6mqC
qgsC5HIRuaZTqBKN73H688Zds4xJeQ3nOGieN022tiyivgEAdpFITz92etu8z8tg2Nk1m18GWRYm
DHGdgHT9ZVhQGgZ6qzMpDLK9hY59Y9LF1Sfat+pZiSNnj8p/c9PTD+eo0VcjSSNrWp3ycESDm1Wf
LnOmJ0cHONuTJerk86hFpTsqoXVWlaK6hG0cvrWDuIxML4H/EGOoJV9/qhnTDAIFIl8kqSpPeq7F
z/pEL8F0pHbvYln+rqv9u4xFPGP1FlDs+nFoa3A121KaL0Cb9WMdONNTW5vR56HW8WO/v1FuEwkG
Q/UOnhHJLxnM6rYe6RAiO4c1zpBJ1TdtUKNH8lE7PuVD3Ttur6NB5raN0f4eQkd/b/fO+CFJqAju
5BA3dwNtmkXti7sBOhctm+sJtsO27LE9mS9qpYqPkDXaE0gwtKLvf+/WMAvZ0FFV/glz5XqYPm8L
I7HYsmywIHHDCuULz1HCce/tvTfQKjqkippLVabNFyWX9Mek7qtjnmZvRl0xa399zivu9K+7BX9R
8sNkmi+QjRs3Ev38XOrJ70Cd+wP68+NOpnUT2pfh8M9aOD8Lq3T56L+Gq2ekHiNkIi7oYc3HAsMU
P9b18Twkc+WKRQNoyCkK/4cl+2vQ1UwKMSnGrPfzxTZG5YzyUP4QVoO6s/9uD51CgYRztxSE2YSr
qyXFWkc3Z84BHtfTx0idqmNrJbgyQ3XYGep2a5CwI9EBFRMZmRsxdElKorbRe+0ipDQ66BEIHr1r
9qhvtx+0jLIcaSrOcIxXN9ZSsQRziFY/TtWVp07Z4A3aWH6OO6rv91foNg4AWGFjwCAAOnrzlE10
NQvSWNYuE9Rp18bV+TjNjX1s8zw+DKBxv90f73YbLhaYJN4LZwJGk3q9DVt2dwbZHZ8SJ+vPmIlV
P4siQbs3LMP4mGTYcLtAWeWdQszWjC59AhQBWT3qS9fDFlCELXQi9AtAzugAUq/3MoVmeSFp8s6e
35pRajELnIJpBYJ1PZTgJVfJ2JRdqiyt/Kjt0pewMuenGfeSf52Jku3OvbgcouuYA9aMpIloQOS5
kVs2EM+Nywj254Al2j9ow1vVA2RvCAlamRcoIuNRYJyzOsebj0q/L3S1+H1/VTemd+nnkiWRTpDp
riJRoA5NVsYCAa4AN93OsTB+TAPlaNvJm3XS6IlwOti0ZIe3jd1piuhShdDikSiNzpDizMPM3Bzv
f9DGIkKN4VAAUKWWvsaNQgE18p5rlGylsmjNGUhplEZ3gDhanvHVwNH0/oCri4VOLIEN7RJyTJA/
FECud40FCkDQYcp8Kiv2kxEgV93q0d77bmMUKNBEFhAkAIzXr/2s7rAwbbIMvk4q3mNBWR/mwt4j
ea7O+PItKtZ5lHFUeJ43zTlLr9K0BPrp64ro3KxLlSOiFr+sXplLV5/QnnFDkBA7M7g6Bq+jAojh
UUcNmT7uKqPt2laBZVFn/mDE4gu+NM1DH2Daiu5wUjhukVYLjbiLQY0juaN9TG36af/lN8CKZm8u
HIY19FLS9GkkqGY+6s32J0Mj4cLlynKrMEg8M57rd5LkVK45Jfn3TK/Ll/ubaGvieevQzuMxzXtz
+fd/xfgyo/XbF3Xh02ZG4XIatB+BZVYu+VnrqZIq3kEO49Z786galHrkA+jTo8Kz2rrzUI+NM1WF
P0M2ew5bWT1X5th8beTRfpeU6b8xGIzv98fc2MjsLzr2Fk2u2+qNUoisnete+E5RaR+qQqrcSJKz
y/1RNrYU8AMCsEqtBsT9qk6DUhMAuUoSPsq79k+7SpL0OFRDWl7IbFC7ytVQFLgahYnppoWDvEnZ
BHX8fP9XLPP31/2+bGxwbJT2yfRpY61bW0NrO51iZIW/FBO+B3r/exKT4Upxp365P9LWrL6CDskQ
ucjXUTJSyhm3wrzwqyBoT04WGqdZG9Pz/VE2v4c77jVUUFpeZv2vXRo1cVTr9Sz8JuHpSQuydgst
sHipSG+EO71OHc4elBQg+ixu2NdDNYZRJAIXNN+yRvXroGUwQjuJs/sOMeAlA1aL3vTDJErKA4VI
I3/70aA0QyUDfK5FuX51J6ETA5I2bkt/7lLp0HT95OPJ2B2HQs8P6HeT8YyttpPrbKwiICRLk6mi
Lzr+q/kdkiLEy6sv/CGUtZMWdIXrjMOeHePGKsKKoQey9PHBz60+TUOYn7d+IPxIyXQ3jcvyXGoq
KnSS1B/vb5g1T21ZRsaiIKLzqF6W83oZ04zavSxx2psqqsezVgdV42KEk3/MBizoTiXA86fQrPvp
0KOHkz6pMPakYz1Z1YBLryP2xAK3phhtHkzjocepN/KOYx6F3axMfHw/it+VOrSQ4fEL3XmzbQ5D
/ARhReHtRte0G5u0It8p/LRq6udwSC0fA1rpcH96V5WZ19nlrweRuPRBbsj2VZyp9ehUwjd6J9Vc
QTHTPGh5lyinNoyGB32KUJpOeik5FyoSkDuru/GRjs5zgHo4FCQ27PXiOvi7hVIz1z6tD+2LZBTD
g+J06s5Ubu0h9JdJyBfxCcqkq2HoNAy8S/LaDyVdfnGkOvhQ1rJ1lmql8cpUl7wS5zyv7+f2hHmj
46npWH0xpDzdeUJuHBx6tBCm6VkqPEdWd1I8drXaRmHtgwIR73vTEN8oE1WoKIb9zk27NbVgTnit
giTgz/JT/rppkzKeRyUxK7+jp3XsBeQ59tAbW7ALWIlkfNGBgnRC5re6CaA7BxIv5dSXLYF6a8ZO
42sGp+eMEj7lE6X45mOoBsMbfYVfRybTWbAJkIBvwPKZIBVKKoiB1CvDT1oL7xt6ardDpL6ZRb4P
8BABhGIseeVqwQKnboWtpAkcMqtzBbRHV0zV3lm/3aDLMHQLYL9qPFDXGzTPwpgMNYj9sK8441MO
CcE16twp3/dpPgQvatTO8sMwqI126uU+BsyeG0I60gGYU9tFkCNR/ftXw1qu5XWGl7boQsjlgbLO
7YJSNKoVNYkvykkbiVsy6eOkhzm90ZENd5TzYPLLupgtN7IT57dG9hu48MPk5DGI4qWR1aapK9f4
cbqjqTU/lAly0gkzuehLU5epQBApjfeYKjeHjMlEBQIMOoRRUozVmuldLyJ8nFIfFZjxMTFF7I9F
hjtlljs74XZzKJIL0NRIiNzcX5JDkzh35tSHjZRe5iZS3bFIrUs8Zy/3V2NrpMWKnscvQNUbvm2Y
F0DYwjbhoOWm22p162fBqCGskEnH+0OtTb1eFx66K8+4pRDFrXl9dfQoFocYiKU+uab6p9Dpk0Fd
05wXCUbXhOVxlv+sWIOfSSKnyYMJ69Z2lbCTf0ByqzOvqjtdo7edSt07o+yN5zZrDeloZbFVeKNq
i19yEOiK2zej9rWw8WJ11SwHbTqE2rT3NZsT91qZB110e/erFUh+Gu6Jbw0YlIEhTtxKriuvp7Gy
k/FtXRY84RHrhvDNWV6lKjhcRgLccuLrMQbAczfFT0C3wtP95dkahZANzm3xKKNkdL06AHJbJ7Os
xDcTxz4kEbJHRTyZh7ePwsknNgN0uXUvwLt2ppjfxb6RT8YBuzntBO/wjXYsy07jBgf7sYBdF9bO
9bfE8FWiAi9Lf0jV8ONoo8ptmF3+9kucUcgjAZSD0l83mSfJHITWhYwiT/URHlJ6Qide28kyNjYa
fRAqYItoOxnr6tqpJaeg+pdyF4hqso5WmDYoL462LVyzxLxnZxvcZG5M3cImWYit5FDr+J7mERKM
7Zz4wEOmS9fbAhJJBivPwSb426hEiILLifaPnCV7L6tlh109SpeheXgbr9fejVpaE1nmUlBJ/MKp
tUOthZUE80mZtcuIf+07JRqHrwKo2/9QL7b+VLLx5/7e3Bp/kWw2eJjD8F6fADMwUiFqJ/V7kRfT
iazPrmEPZ53tm06ahpgHVvVzA/yuO3JjYXagzXZa7CRYy3quZwHxWUALCAreps4ZEqEa7iupH8l9
ftbGhotYB7r1qVUS8TlKk1h9qPRmr8S8sc00SrU8P8gk2WWrbYYg+oD6rYEt6WBokxfYojLcmOo3
2FtoDG8PcDwiuWiWkhLv9nV+p1mgMQwh/KIaZNVVcMb+VNlV+GfUJnMvpduY0avB1OvbINWDyjDq
gBd7l+aPkp2EB3T6ZbdJXqRE/l4ERrFziFal3uX+QR6AVgtKuFyp60PUxe1QOaWe+gaK0b2bZsnw
pRGoDeNAHcv2oqSUj+/u7941h/l1UJr7xtLopziwRroWDXKePU73fm5X8zM67yHSY+N0QesOE2lT
DKce2+TDmJgKtppF74F/qI/kj/WvZhJ79JetSScwgkvHRQ1I1KrOxe6Jx0a1SSyMhA+W++5hdOzy
qQuj5BDwbgIunuJyfH8SNoLYclGSVlOyReV2FcTQcUqFKRWpjyf6/NwWAMAqWbJ/3R9la3npxEAh
XARSzHX2jkQPjuoticwc2dJJ4Ex9QpGg+lyDPviUYpO+EzS3ziZnhGPJeeGor8KZ2ZKeN47EXGrU
m/t5LI5G2GFRY+Z74vzbQ5GXUwcl6KybFPJojhhn5Klv1qrhGtX4q9SV2ZscY89gZXOpoL0AEqTD
enMFJE0sSRmgfT/qEvEkW9LwEFBb2ym3boSzRVGULHphld0IKzty3XTWwEMLU/u5/yCCJhzd0Ynn
6hijyl/jwhxq6sEJxsp6EFER/e/+Vllrey2nEt0ObgIEkcit1q+GWW8sq5lJ5VNhI+YIcly+hBJa
A7401+nwXVNiK/smqgJbZ5ui+uDG0oT6vNs6VvEyxYmpH5IyqRtvNhJdHAVOmubJKR1lz3dsY0H4
pQ7kAGLALf8JnLHQopqz0zS8atIszh8pbuwcna1B2Me0hellMsxqK/eBTvUXdLUf074/87BJXWOe
yp16yMYBXd6WbGLw69RKV8EMBSHRL7KgvjHU1iclmOIPjTHG/0ylnb1U5Op7dgFbAy5aSdQLXjuW
q3hmgWiUorwPfakoqkMbo6XZjuH0zpbmHxrN7+P9XfWaWq6SBDJ1eqMgXZcX/qryVAbYdQxFH/lt
XhXPmjlHuguVLzIO9LzFZ2UI+uKdHcgmXEE6npehm3vK+/owPZjTrBonrUvt5CCWlts/SZJrObiA
JJoOZpv3mitPaRh4bSJG3etGVQFLrGhReDSdWEupatsadRg4PpIr8kSRvKIOUwR0FwmeUybnxcmx
Eql+qAJba916zBLtkCdWTdca/KV1qpWxiN9+R1IQJ6Eg/vG+XM9IoQrdhsaKhsykT8fBxkAJso12
CNpm2hlqa7HpqpKLc6yXAtV1PpHxrwbKq/ADRmfyA6GKL21bZD/hLspenErqf9ld1DIRAkEzisC+
2s4BvAo9DzF1HZTOOoSF9j5UdN6bOLE9zLO0J324dUZpeFLr5/JaXKmuv2/OU7kDvIOHrCw3h1gz
wkOJOc/OzbwRacBJI0W1dKhvu9MyOuRh5ZjSRVFbGWpXpTw2ed18QhAk/Xz/uGx90N9DLQv6V80S
ghjqzDYySg12dZ4upfnZKhCj+g+jwDSgKABkAhGl61FMcx6jfmHMhFlduyl18TNdvD0P0I2ARtMQ
0CHSbwuTeXWBZnE0Zvg4hH5gaRiCpIp0hA4en6DVqg+5WUfn0M7kQ5hx593/vq1t77yi8nQ4G2iD
Xn9fJ7cqvCNOWDdOsddw5M9Fnymuk/K5Q58b3v3xNjJISpeYRS5aIiTTq13vQAvjHWohWaZP0rPe
KPYppfx3mkIc5tBQySDOTnuAwM1BF7MHukL817pG1dJszRLDjvxBUYNjOsy919WR4SNJYx36wmgv
DjXVnax14ygg74QZJnpwcFSdZf/+tT+txqwCSWrQu7GF8r5MzZbHrtV9lXpHO92f1M2h4FGBziXM
c8Svh8Kw0eztjPgr4tg+dWaQubmUh+/tqv/zH0bijQeEnABsrAlNiXByIy9RZLONquo8JcZAgQZb
kf/IscXcwx6vgatLngXBhwSPs0cMvtEPGMOobNMo8pu26550W0pPFnb3mmvbofm5GVDzOxr5POee
HjT6T73QqqdqzvO99uz/54cszS8OC63F1bYNy8qqigw18liptEOkVOkZ46/uNKglVqa9I/EGrHqm
QilsD9UsbqWgq4/3J3/jrC63AzEK9hyPMPV6mWH1iMEY0WNv0g4ptcT6k2tqg6RTalBYMa3/sIE1
mn5UdgHyU9m7Hi4rBl0NisVKfqnvHYqxi6EnttGvFnz0njDlxm3ObqLPRRWZgvW6qTEWMy4vRSld
4nwYPJh59cOUyrJ/fwa3DsoCXlzUWcEFr4PglFdmZ2SQf8cybvqDAV7rMqXQuty+jbUf9wfbXC7e
QejvLGJn63ZXNMhmUagwDiPoW4Yn2oKVCxS6IEmhHIaZd8HOim2NCAUBwS0KXfqNkVapWyOxBQ47
TAR08m0974AxJGHwPpPMqT0YWW7JOxf61sJRGKGFv4BCbyCoVSnxUMu60E/ihGOY6w4kAXNvlK0b
nLSMvILKw20dO4BbRGuPVLwWUgcQw8Q8+FxDWDuhMt8+tnQh8B3XIuN8fw03NszSakZfE8YfZKdV
VugMFJciIbMtjUR5iKIiPqbaYLkBsIGdxVv7+CyXnbkAF5ZWFKxmc1ndvwIGqt/z5CR97PdRmMtn
NQ/a6pCLLJi9blBr6WswGJV50nI1jy/CNKTKC0QDMkadA6AxciLbn2U7oo8aplpxSbu8f8nyJjFP
iREY8k7isDUzf//a1Y1YS1OStU2OtgjAkYM+9YjXDa3qYqn5Rm/7/zcx4MVU1Npxa1o//LImoX9H
j5r6z9x/kce58ApB61iTmupD0ZX6oWnbbmfll5VdPcYWkhQZJNhqXvurxx/Sy3VV1OQMlnCS53ZQ
JteUlMjrcNL2bDOTDmhg6D9YHvnQd07+fH/jbRxlUDmLMAO1xiUMXm+GvojMdkjCyDdVoYlDWGc0
Tm2jzdVzOGLM4U6y1e29gTbSUJ4HgKBIdHmVrN/xOYJkADFxU3AkNX5UuqI5GcOQurOUKWwiSqwK
FoBABaM3Um9el5jkjCyJngtF8tXnjmGZpCoYTF8qA/NDYcklDb9I8dSktnYWdmtmId2gebiA8WiL
XM+sNZlg9fKlF5IES0pfaco5N1P1bJZULkO5mndOytaswqXgVQT8AFLKasCkyxMNhGDiR2Effhua
tARwVSXH2lAm6yFuOqdwuTKdE693Kd8Z/PVvX+1j3EpJtHnzAXZdl6qMTgnoalfMbBclHcRRSa8O
GTyO6EFD9KQ+hknR0+/sw+igtTx56YJEsurWmi0+SFEzvIS1BCw2DdVGfIByWhteGSrBg6V1bfoc
BHH77NR2/Q5NXvxQy9Iu51NtG4XYOREbgQa6KTQmbkhsFNebc6yjSkeKNPKrMhk/YDKqhG6HBdXp
/sHbGsahZ8L7hIbRTZUJ2lOKAmEW+aKXpie7Q1RJ6NaeCOjG7Yl0LJIZbEG0lNf5pNkYc2cOZu6X
BqyXgwYDBV1sqQQhp1MW/nn/m9SNLWijwQXAh+YpCKpVGOsxeSrTpVkSaI0dnoKmHHsXhJb6Oc71
ofPMqBShyzZt1fOkTmXios/pwLBuxin7matGMp/4jjg7TMnU/dHQfJs9fVTr7GIVFn/BmEso0HeO
HTTnYg7H5wFqxvBBl6Nw+NyaZph6usDPw+uqIJQeULStiFh9lz3qYSeeYTbN1c5CbkwxTD5EdIDe
UWRZ7xeEUPLO6rScbFnksxdU/XDWQj0q/S7hnztp0JqqvdxgeKQC/oHxAx91PdycibbH3Y8pjnvF
9tC5yhSvy+U6d4WRhZ0XqW3+s8U8sXySoY7L5zKUksE1Q4sCE7jSxnalvlY66vMauozDnJfV4f4+
2JoSGHHg+snpEcJY3bJCVvJ57MHbi8Rm/eWyO0nj1LhGlr1R6/J1OiCNAvuERwbiezVUqxdRhKNL
5iOUqpwQQ2t/B3kgvE6dxf/e/lWoR8P1WLqr9IeuL/Rw6W6XSMD4clvYpynVzEOLzolnpuLL/ZG2
jhHxCYAc5VkkdVfFkiFIu3Ru8synGvMzy2P76KA+6cqIpjzrztB7WLmkh0Epk52nxMal9Or+szjI
AoJbJyNBa4RybjCbRdGWR22arHcT4K+3928XVRiqMgh9oRqyuiWyRs9EUzdsD+zaLnMqlcdoxO9L
6pQ9ZfclO1xFJYaiHklkAqK0TuniVg5yRU74IDuMHqJ8EF5t8iKLu0khAEmRB8W/eLm/fBvb3wEB
wQ4BjnCLdw7axQClhzoTT3UDGKoJHhMFw7bCindAJBsbZeEZYqBEjnGrs9PGqlNzG6f+MEr97Dsq
cr0PEZdp6VXaCLtjTopxfN8DNTU/h6GtBnvX0UaWs3RjuJQJMLewh3aqczksZAg8sh7/DiRq9nhJ
R8kXxcyyym0sM/+CWBeVWqT/EvOTNJUQbWoyXtPtDD3+oLZ4eJ97FBkewXhhLFsOYai7WQC99nh/
XTY2A48eGpNERJjB66JSbOl9l6R000pSsnOujqZbyOl8KQxt9rKc/D6Ix36H7L25RIA0eU1SX6LL
cH1r2GUxyIHVp35nZdoPxSmyl6kQA+9yPTonTZs+5cwv4U02/Pufu1VMIsPgFBOOeTGvh6Z6NAnM
IFNftaYIG+8cKrYLU2VOvAwp9upApMkyBEWKUnh9nyoaNne2BkW7r6RP93/M1pmAArBAx0kOaVRe
T0MrNN7OlpGhPmlWtsv7Xv0eh3q1WLfI7biz0hv3GCwZSDLUYpf0Z/k1fz1xeWXnUVESgID+WdAc
GoQY0Zc7vP2byHepRiz0tRsdopB8hcJhxyiZYj0DotXcSJ7EMSQu7nzQ1jEjGaWgDQ17KYlefxDu
g2kltSYMNiNIz02eW7GnjZH1bUyHSKNf0ImXt34cLFxwROCpSObIbK5HRBQY0r6T5L6aId7u2jru
hkgvlq3hFjNW8PdH2yhKkAnT/aSwbHKdrYkpQqcMKAXcI3ZvoyreFQla0iI30q+YivOS0fPGrrwW
gmD57BRDFLpB4AAfn2pDms4mgXiiPhz2wVEMZhIdzUofxLESahu42FBU+psXBMVipJmWrANy2/p1
pzbomghkPn3o5PUxdkbjATkVbJFtNf3QOu28M57BdF8HMljCdCfB6EAdujHzAE9XUncpEj9AOtgj
7ai9xMbWQWi9ddlZiyX+rsci+6BASjEKmscqPqMchl+a0mY+l8rUHKKuR5DdXGSpXVQk5C8Fz/Yf
QdZUxXm26rjzJugaowtHNQnhSldl6lZtHpmPoNLHh2wMnT+AmOoOIdhRhscQDkN4gOpqDoc+GYjG
O79fvf39NERe9TWBidJMvd661owGrlUBoIotpf4YUG77NQTkdVA91dn06sDQ/+Xh6MCCyh1uoNTS
k895mubTkykyNJIj+DTxTtJze4KRqWF/A4yh8HajVc58djjNLaFaKcovSiyZrjY4zrHPe+Wl7MZv
9ydhY7ilcs+FS451qzkfS/IwZH2cwZzjPRKhWv6+S2YATY5JUUefkz3WzG1w5eiSFQMIsDewMonO
FS+lBtifuI0/DRGY7FGWJ8j7uo016NRdkDtPdvKf23seTDOC7NgSkbDSU79eadgABRy2tPfLVK6O
s91ki860tRNIlyN2u6VomfKoJcuBP7fufJl5HMh9mjl+E9ZadDJhsYTvxWQZR0eZpMjNB8zNvSEa
rR9KOxTNMTLGxjogm9BPbm5L/R9MWIS60NLM7+1ohB/KIIvy90bV4KVWK3lfPcEqaRtvEONU0Gau
oxBIjxo252AKEDurwnbsPzaDyEw3nvEZ98Y0yHAf7uS8RvHecv6p5Uz6rldG/jEnyoaU8dTgux2G
0eyaGWnVAdih9L8ZZbPpIOa+eK/kYfvPNI1Z/uTM4/jbUPo+gRph9MLTUngdHp8SZS6Ke2gGAhhr
vi5HOHJHyqLGqWqNaPJmx5rSjyiVZV9kkaffrUQtvivjnNTnSM2ar5FNXfuoxPM8u1k9DLgBdUGa
/otETFT4HbUhybWdLBrc0sDT9fMQiBYDEbiRqX4eBpPWiSN1U/lPGGvUCKepMj5JcmH/igenMo4x
efhwVnFmS5FRSNv6KZVolT7l0KXCQ2eMWfrY5dIkPwIa17RffebEkou40jD/5kZLUduqMhW4ujKL
wIudKXuXq6ZExKvrUvmYiaD6nBtSEPawRUZH/jOPlSMukloN2rtEK+jNYgU8yipXsyWJrPbx1AaY
+ke1o870wGGJkXxXM/7QWRDmIw/46ZxOc9V43eKVcxmpOPWXzO6zP1Ggdt9pGJOp5MAZXjoZCe7L
mPF/cEFZDuKQtJM6uigsWhgHgbkv8cKLhsoDQBT+zxalpnvwHZPZ7USe/SymcIDcnYcDTYvKtj8h
bKxkIMLy6FtlBGUFxazOfrQoumaeajfk5BPBzgHjBnDviPlIXrmgeZTZzecMqE5WCwfMFYz5P0GI
/JqnKIA9gOOHU3gAp+ZkB8q949dgipT3pDHtD0BErThGZZPWxz4Lh9qt8brrXBO5/8yzHaR+vdqY
m/9xxo1DD7zieWocEbvx1JpPkuhsoHYWjce8UFLF4yWSeklQmp3XO1H8LDU1sr8GesqdC82/e0wT
Oysw2yzqr2GVZo+JoYmzJPLy16SZuXNW00kpDw2+GZnnIEL8HLeFmbiSUPvRY/unCTaJKLq49WxY
/yq9Fnyfccp7KJIxHo+wavAGE3KmZYdWJs48RVWlQi5JS/0hol5duHI5NI9dnEwgd60weFZmOf7u
EEIzZNXj8HORBskX2ajmn5GUNLNnxJEyeYkahL9xQookN1b7LPZSWJahK2FDNh2C1BL2pVTa8aum
VtpHp8y0zo2LMP06prPx4oR6N3hzNZnvuxxk6SGK7eF3oUuT6nZ9Qf2ytu0igsHVaVD/mzJBwNvK
Y/kQFf3UuU4x9xL/e+ccE7urA5wmiuQDAq2hwpfFVpUcuub/ODqz5jiRLQj/IiLYl1eguyVZm2Vt
1gvhsSyKpaCAgir49ffTfZmHmQm71YKzZObJHKOpDPal2f9ytservGRNJMoR/q+/cvQU3koos4ej
ElkpuVDHyYTQyT1Hdhgehd44/y1HyD2ZS7z7Ctkv5skJ4nkpd238h7AOev4RDXMp1ZHKwh4mEoXM
1uG96eb+i9jcgLPhQXn8dvc60TyFw/A47aTaF9HerG+i7pe6mGwtj5z8E16QbbYaZ+homP7rIkKv
8opiJsuFhNrqrEUcv8Zua76WOO1fg2Ht7EnHm46KbInFY6ScuL6gJ+cQaB+mtS5FP0crEi2AwJKB
P/OYcupqyU3t+Jdw6WR9DkZIpHyrl/nOdr7bUemkeal8H/BrCJmb8zFpg7+N29TitM8YRp27bk+B
dmBffgfH0IoyBSojrhUTuJfFEdVayCaO3sD3Zn1qnXoec+4yjy8Hnvf7jM2mR354zv5G8PYwF1nt
yKs5ZKkuzNR5mE3gy9qVMc9MlnuOGh65cWvfEVigAdsWvdk8y1z9UdfVRHjSMLp/yIvQbz1aCywM
Fr/76KM9nk41tn5xnhmN72PS8HcVbdN831hwbRblbdWoL9MgISrnKG7ladtskhRT6vYPPucAPz2u
EmyhrRCa0DURvHLJDQbpNmuqXirtxhpF2jb8Ob4FJryOnjOfjnogOtFPSBoMPandkqQ3PRdpIuyr
4kqH0ZTI2oi0p4GI6g5vTfxQSDHw8mP2Mc4EtMXjNx6OIzmljknQ4CQO8gV0qpiohvgHXo9uFVWX
ZVTfF39J2PCl+BbEv4i6zneKQfmePLXG8V+BB8YJs1eDQG8dx+BzkVl2x/UR54bJzo1LPslxHci2
7Pefgd3UbdSJJcnDekbcRIvsHnZ/3l/CsTtexn7iWcUoLP5KK+a403gwTlM7Ov/Gth2er/1cp9M5
tMTW5Zla9Y6sEjvQ3Gll2N8G0xZeN/Uq/tQjZYF0RCG6Ym+36WUJA9Gd240jlw2Yf7zBiueYoH/C
5dqqxftD+GBLPIbiT1hxe28o86tbn4Y5MV9qOwIstTnsAU2WC2XQXcbsjiOHqi73dU8unj8sUxFU
UTwUeH7qf9FQ9VF+KFeIc7vrRPKW1dkXR9wzEbJUEyc/RrplIZEBCsJcG6JA4aDl19rE28FsIUaw
6LEP99xDVqALr57rPvfMkD2IWmCa4u6RLfaecKs8DKb2fetX8W9UvtnKKpHpDqrtxD/rwB15/yMn
HGCc+ogBA1dTBEo01m7i95yH67A8HKm/LsXOyPxUOZzDnRdq//Ua2yorrawYjhWdyAcr3NcUOXWD
8y2nenTdOK7mNz8c/QMRTt09z/uR9adhRACbkyaVPij8BrYysRXP5Ohru1x1XKv9CwZneOycgUCd
SIbSFHWaqq4wbbbZcu++qxYsxv7T1mMTX7V+29xhVUV8xUJcH3qOaN4eOxIk9ss+cuR/pkq4jymJ
8JahwNtP4ypVds8K3/4k3oLddw6nRJZDtCN1251vuQT9ZqciH3WvTm7j9jpXtUvbIbFNJBji9G5z
6zi1GnM9j70qDMcW9MfNKl5Rqv2/4dDtI3ZpbP9eKMiMJZXk8K8OPdjPzFvryxIPUcb7ou3zGO/j
D7EH+tl1JW0Qy334h2FapioffSpsQZ6ENLkMXZq/03XYpKQJuoN4NvHvPm15w9xjDm6qVqaanwDo
M69minLh9UaRn+eIbcxrf4zv2OUamycY2KoybIPVPR3d6PuFFRN1cQ5sFJWIdJAR9bgz+LwiWfqA
CIhkjqQSVZc7Zq8GHj/h3C6YUshcTcvGf2y27GHs4e3oMwmpwpXJjLlsGs4Q/qxn8GpJDfin/Ght
uMxniEVOKQkq7RefZ6Xa1+6T/FtbYZUsvF9SqvrFidbsPVlcmnzdU9PXlpinixGims8zKZlYE8W+
N4NQK2ckxcbGDg/84EChxMP4vmXupkDuuvWK3FcxXPW2CZ7lvPYB+4fXBLmafTSN2Tp7w9mdnBBB
d4RGo4TVwPzQNUP1EKbfkcoihClGixRhdcmG1RPWufvCnAVUjcaDzMEG2nJetuZOHHX/rf5wzFdD
KJwnKV1MihaE6i/et0CkiGYM1PI2Rj6eo47wrwbpWPg7HGCJHrNm/ZU1anKLTqfbx+J69a0gS2Yv
ujnopyv2ZK8tOKmgkzgsOx3joQzv57Aa4AZT4d2Y3fHMRSK7W/I+NeszNikRn9qNeoK+9tj96FTb
3pi4Ml0xJJiVFnpS9m1CtKdz4S2xIQg4sLYQ67zpHBuYSpE4bjpx8lYG8SIb2GxKHlVvKKCS5r+i
CzfcirImaXO6jOPeeQ5CkB8sB0mf+9imsUptvnyammZccqx//L+cnUeMINmAWXUyKXky7cBDFhLU
YnIMP6bHGknjmOM8UP0XrJ5+PZScbWkZPga+p+9NYJZWzuW2dxrgPLXdnFeQlqhvpqn5tbRH9sDB
Av3/iPfZnBfGpDBvp6z+q6eg+gPt6ckiSid3K+IqVPy12Ajfj/BIn3MYMWELN36SGAbO+eDM3X2t
XAjYfYjsHwKFcIbPPO6gi3BUiyl3Jq//wsib374dxpyzYR55dw5v/cK1T3bckK7pd5GWu847ppc/
st/48fxl30CXuQO4r+BjzNl3+uYvK5r96lUvFgiBnkc0lGru2Ca2yeStCCnClY34wMZ4mLb07Bhy
AWKqAn2HoiEKi25Q/V/Co+a/YZ3RNfoQg7d8EsvRlLp1wvdwZTcrQpuYdxZaChkFC51kSnm+7WoZ
NsXuNZsoGfPU9/cjsRTRR79/RDaeVE58D7tl5B/BB4eiTD5Os2lbdlHWz9wvbeN7UzXmM1olUo5W
sjrliFOcByb2iPV1nfrqsk3SM/m6asuvuY+m5kTQ/MLxAjpLTVe0+2/ZYEKX62R2nYIG395UhKFQ
beZu/88xdfNj9O3S/hw8pECjI+NXwaF4d1ZmzzhGGFUW/MAAvVFlusj6klaz7krmToWAxds3dZEb
9gy5nfegZs6uxgHZib+yOcvQ57WWti/cKv4GjGVNGyeZZf5HaG7a5WY/GnZAsL/+9N20Pw4ntDqP
kQZ1JTW6urdT0HzFsQ7bMlqc/mnz3WYovx/qHyNZKgzuU+xOBXcFPpEObQLQtmjUc4bp8Ve6x+tc
LMZYt0AS4tD+nG797KqDm7TMOcYoZ8m1V0ObTV7OaDW/1Ome2iJpcaDInXl2/vQ0jf8qG48fXVAf
uC732Urtj8aIjThm6vJC66WUP+VkRdur5W3vk6ghVsfOyZm+v/9q3bH5g0xm+on/kvyY48NLLnbz
Jl1kmMHX+RLvio4hh3UsxCETyr9EDpxLNhyW406Ef9Z11vdBw9+bNySCfFrVyZ6t+zAVPgJtQKuh
V0eFO1nz2PPfnvrGyZxLLL39dyVl9lRtus3KykF4xZswzXTmEAA///+JUC6QNVxvbXWIwunXADlY
ekR+aczQvHTMvpdMptmHOeKQOp4NbUS9w6Y+V6rK/uH5M3U5w+A8n7K5CvszvghpWwSpoKDulZFv
TI3ercE/fc1DFXmksSfespxHd0r/2KrdP0Lj65vI+/aoI7p1/6Rc86ykOuIvzOQ6UCVRDNa5BwTw
qfcofViTYzoKzGOb/5iPsjDfU2e44ShDJ6AUK4oD8ICpuhbqAEdaJvcwlzYzLZC929I94mNOMhba
QF5aNnN7NZMx5nAUHzneSSz9coduZd+LRqfNSGOagKAGp+a3307r3OeLP/S0s2A36Q9HGfdlFfP6
wMk3w9ARSnHL0My6tou+HlBJLBuB1JsPYNccTsBciNKvz4XCf/8kI7/+6ZIbcjX4/vhkjmVxCLMg
diavvNSOpalEovIj3cyAQUSaNoUQO2/HykkFcNnm76c0FP1/x+ZlH66j55bcvcyDkJ2ObM23dPfr
XKWA5MW6quA5cLfxo9WZJeR0To0BfF6Ue83euBomVjM3Bel2rlcIgOU6j1JsV+tQsW/E2yTuXSfr
p4KJTjhnDhNhO7iDjJ5aEXtD2fsrXroBANeeh16M4Umb2PEz7jdi+uotOej1Wbq8dq2tnowNqqqE
ZPD/Lfw0913mc0+YeH360zba8hll+32N7CcfFZIsmXctS1m+VIDaeThn9R+NnWNdyHFSdJhapNNJ
sbX/8wOTihIb8ZG2orfgyCMVcBY6Iiy+rwJJT50AaJaz931hd6OPaXtw+lYK9IA6e1TxvFKgHfcA
2EjmQJcOaOtwOqLR4WGA8fZyVx7+zbiOccgHruJ3vFy4Zkv7Tf50Qk/cEQ9iYxA9O74l+7qEhRs3
9tm0fs33Ve/xjTOPTnKD/Dj1IJbW2mJyWyfxDTnm9kvhzUbsA/q5LxXuwDJ16GJnLZGjMK/ofv1U
kVnnfNedf8tktq8X+X3ql2cNGE9hB2UfZsbYjyGLV3xqIONfMuLiBAv50o74Qa7pB7l1/fNGtgKt
wmKTig4yZRfrjnF7zLKxFWzao++dQnnImJOqxP0FIejM14Nmt86zyo/v+6gKbjAazvw83er1w9aR
/I8Jzv8K5A4XIMgRJpxOBRj5qCrpBBPb4c2XamjcH9yQqhlhdTXaMjW1+tME655CoWX1golDFi8n
fdTz6wbW5jO81506MQsALSbr0WAYLcX01buTu8ABVfLvNteUzx7MNi1NOjq8eYeVj0vniS8UOuzY
/rRuz4e32Ic9FOY3z0fwFBNC958A5exyu6AOxRqzmj4kfhF3dT3W/uXotvrPzsSYFnO7wwNmCctY
fnT++Fabbfh9dJ77vg2e+jXjFfTuyGWOLwb94AP3+smfpqkrhS3i3rXlBAI3lIfj2Qu6NFSFDJn+
vwMV+O8FE6P3frDSFlgdsbgyqfqfcgfnL3GSinnmVl6SNQ06jPNcr3uOwwr7vM6vEJWE9H83z7Bm
zvJd9tlcRK619pLNICyMLaN+hbj2f7ZJNv5aIzH+8KYm6a60dF1RdniDhIWhmdhci8AlBcUnJzHf
TVg/V8601/BwfvtmMuFQNq0hwmEc5+jf4CQ7cCqUz/vRrDhuir5RIdB256oTnI+5UbGxCaqHRL96
tS8milodJJcBC+k057lE8sxPh9XAvrq3FCLKW1ONFcyr8rYvpIRUFXcX5EdCLo3Ome/rm+3jMX/e
VWLZFzRbznWgrInyfYRHzFXW2TRn9Ng+Jq4GhpyzlxQsrmWWzXtYgSGfVBMSbKKpMLlEgN1Amaw8
WEHt9/8WAAbwbM9FjDkvwXAO0RZ6RagJXS93MXOOy5kIpXFyelbiQ+GqkkcAhXs5gp7WSEn6/nHt
JiKrhZHxSM8ds6yo22m+MT72bnzEdmtLSYD5XT/JLC4Ia3JfKzvHXwv0xa+h3pgxdMfzuaL0ncEJ
ozGkPC1ORl5fP7z5GrPy3DZJ87KtwRa8EOQSPk1IydRwThWk9xuc9fJvnXyHGr+kK8mol4VeF13I
A1B3nZ+t7DOTnG+9Bj3HFQZ8mzzt21h9rNSOayZDK8+tQkNR9LEeP8OmavFNr/p0xr81Bnom6i5j
dR639WVajABlpWaLy5bo9S7TmltwUuC3LzGZ742NBfFntHfqcW+8ZMDpYA4Mw38r74zy/Mdus25z
mjjQavJ0XPavVsbBj1Ek+3OkvO5N8pRGOB1P5nG3wfxnbKf4dYBoB0FrYtbNIWjXlx659XibkJsz
sxH1hrVy8hmeN+m1QELbFrFLUEib6V6Brs7eVT+mwdYBwkR7FADtu/uoXdRMiS9jwIJ5qU+wAkPC
lNPuTO4uwuDuJGavYufyguZGkf/Hvx6IUcud1HpuOVNfX1qnCx5TkFPGDaQ4/wwmQG9rtzjvM5/F
ywc8/Hd4ocXjPJFt/TPRQQi9woocFCgO2hsNpqVKsahvHJAqc4+xbD9yheWb6dRWfBxYDRvfcBox
hGdXcCD02XtcK+ch5LfGda7amGQyBkocudjoKQ7I0DQeblXcVPeRDV1bbLvMfg1mstOVj1Xvftkk
Lq/f4IKrrnzDEneKfGm3Ux8M9dvgoJMFvpiBdIhRFHHhYvvalmIXh/7hxnVbnWxwJFk5DHGq82ZR
iSlHpBgpY4kenrjY2FuI+X1Cip0Yvogum80vgIhxKdqsd9NP4fYRrGAqZvdmWb0jyhO6pygWFTCe
6bTqO14mxvQLxBBhCMvK4jDFapLlJOW0g59yunEKvMFlAWxqFzeubEfgcSYu1nqPpOFsSDfpcW/+
XqWA/0P07eqowkC6p1i29nVLVp2VJkg0F8wxVFYeIr44Hvj1TX6hYxi3Um+p+kHTlu/bbIKrrO2n
vx0dTFxtKHO7c2p22Z7jacoe5LbIruRlAUJo/WQSrBlxl51Gj2vRvFkjBsQGgF2dv9ujd12bZkzu
WhaFv1UfEl43bcHvUYt9LNveG4bc4s4yFlnPrQquc4f3FQ0hk00OHKbji5coXz/uUbMe74Aedrk7
gMDjU8gYI/KqN/U/rvjq/eJB3ckfksgjVoJVJPJ1xIPUP3sTVhgloGA4XSMtbuvzlsxivA93Vdm8
NkcyXBvg9JlNNCQpnPeCIRg0utlvZBAu3jtli40mU1whNHlj5jXO+4YefG/dvokenQzjkyB3st3q
E8ej/TNTVRVfu1aO88PofwvEujTa/VK64/E5NkCBf9bv482L5kHTvPIuxJ1oXO8UUPLaU1Nz71ds
msh0qu4gvfOU1iu7Kc8PVKpnMHFrsA7W/J9jFd7gRhXrH9n30P1Cbkhq/7a9sy68wRSfvGN95Pta
msXe4726UtpGt53x6u2D4C6xNm5u2HZlV3Ae0QKkGyNwDq3o+PHfMY5UdgHKl3XRpwv8iIjqbDvB
TWSvYs8ctIDT4f8N9nCxT30VL+tpNF2XkZG8MaIuE0xuIb2x8S9G7ZO5w2DW8S5O20DqOaSpjGfq
3PRlA2d2yYWusG3QcKHn/vDMp6pbcJCu2q1heMm8r40/fLsFgpu6cwCIqV8SQQ267MfA8sj34z2M
LtdnheJCgQkXG56g8LAX0be+MzRXq9oI2MOuZ731SFWcP2ksqSlgngbv0ammNChEqjLnMWSAU5g1
HOt2n1UmhaLk/Tc/vXGdzR1YdRK+exiCJKfFLiFMy7j75qbdU6PveAc8XbBlKnw6NS9EGY5cyefb
tkTuXw+eey7TBmj+OjB9r66BdXEXQH9PE9HcIyzULZrF1RxpJcoobsxy8VfkRDmXK7v/3AMPLbns
jAu44wKlF9M+2uFuSBZ6Qc8eu5RmHhCoW7xrZN7jBN3nCCXcH663tYBOTTDvha/CTLMaYZB6kwG8
fR5qh2NGm77oE4trFZzrqcIJsKZebLdDNvEcQXEfttSMPuOv9vt4gl7VYItjV7s65UikdMfHXKs2
O6EJiG1RjXr78LtjC4uMw+gj54HT8VXdJ60+L90Rs0Vk5NWf/GEbdDGHZNeWCwmF+6nCYc4vhQ6n
/a1Lpe9CVoZr/BwtyktuMrhVlkR8DYvAGfjgJN/pl3myFRcuxFSPxcaRqS0Wsp2Psum3jfBbvWtt
b759vffSHmHTnriq8fmx4oN7GuHMZrzPzBA98YfTIEd+uNdFm8UrD71m2FvA63+ySS33mCDV+xUk
n3gLq+92RLJ46t66wrrmrDLDZBEZ5k0YO4cxT8S1VDdtremLnXCOuEQBcsB+6yRQewGMOgU3ZBiF
v0LWW9R3rcbgLges7AbWhmo9XsfdnWRO8GJaQS8MML9jtlbV2d3cUL1ARCz8YrZW1j8AMlABLI3W
YMzwW/GptwIhIrqzBSq77r3tFRhe1OfDVriNcikRT6Ui+wedd5Rqez+siXMXIa9Ir4ETYpU7ym28
HxHYx8u6VRFgqUAQBoe6OFSwORuA5sIuJCEpQXlY9HuANf7iSwVC58lKnHVSxzJvG7bJG3VEeAKT
Cug9gcyyYsh+xltPZwNIqpyr5UOE3niUozmaqpDxoRai8sawKdsB/c5vJSWTbwA91eZJ0A/91Tw2
i/uQddxQnuUmU/fOxe+OCr4BGcBpwpMw9XAaEEQnRghMffrKxPrCw3gQwz4vnPaItgfk9VD+OvdB
hfz8Z/TtyPHWaSEEZPAGW3tSbcXeG6K8jn6puHG3ct0wGP5sdZVOkAXU0Z75HPwGcNblQZ9clrBL
OANZ3h++1zalg/A1OOnIZPpqqMNlPWfoA8WvdbYz4wRXccPZOjiJq37bxytDGvOzxI/6x0zE9Vz6
jT5gFdF5lIHwouE2CdpRXdPlJEpD2wCRNHqBKJybYCO9PmjkO3hXFRfNlFaCWJho/ZKHjhsMAvo1
vFb1jCnTxinIp1Le8mAgv965bbf/x01ciACt9+AMVOz4xAwBDzwT3JbuRLeFyVT6qnUqvIQYiS0m
yJBeqAuC8zBgHfiMdw2S9YQswn/tutjjZqAImpNjmhQVCCUPH3wFbWN43fwn9Bfj6BayA/7+N/am
by9cnHaymOGxk9Ifkng7TyE0PWdl1lmnMU+OtiP+23W3Td3V2Ipv2BUD0dyieW22c9yO04ee0UaB
Ua0NyGLmDthnYO1ZURFr4tgX/+BAv9+O+Y1tQm4Pc5SJW66K5/oi5n0LziMgMSjB1sHbLtnhDchs
hqAiwK7rSB43OkXdE8+AgsvkhkkecZUmc+sE5q6Bs88ujaGYFN4CZVhE0vo74Voz29zqLM16HrpJ
XTRiq7oICKoStz6kmSyrlYvhqxSDLFS4+9DtJVHLqypGf/eOUtfRuBZwDHRs2nwTwGuHq1PsUVLf
WeKGMFIfTAqyl3XiXiPhREkk1ogfrPGOU9x4Orjs2TD/boe5vt+4WkYL0/C5PQyB5flgj3oVYorv
dz73UGRVurJ91834Zmzv/8EEoXsKo1591JUnUV5sR3g8fitv0jsv2ABd0S4tmNgAeivi/NLxyA0O
sh9NFymRBzrtFyAQh2i6eomz43JYZ/jnNbzY595WejiTgxhFF15GnZ58kWz9GecIRFJ63Hd18Z24
s5cYRcFSLE2dRGcOgpbqeVtZlss5DL8bwqDdN/4wb77VDKzeHzJns+gyjo7nl6MwhzirNF6y894S
ZvK0VlvzErYhr24zztXvLs0WEAwbBh/QPei4WmzDfukdwPBkaxN9zDUnJPnEggdXzNDCK09hel3A
3ERRiXn6MsT+yrKBG7oHEeyQ1cQ6ecQaYEbckEZbe4Zdt7xJvqjc3A3GBr3RuLoDZoF1DDIu3eFF
jDZ7afdYfaEaDvu7cHcbxMuSywd/G3tZJKMAY4vcRnHTNvHJfuloGsUV0i2yDe0Gcv28Jt+kBZP2
+jM20/6fhxZHYjaZsrOmzjh9QtC1zS2hiDT8Ko6X8Eew62V5N+glk3NFLld4mQX15cZ3gHgv9bEE
azktwYZmxjeSE9SKxaYFUrLXa5PoX1jz8og6Tqw+JLds/xmU1z+dDCfnYqgxmeGNJE36qrXYBZRi
2kgZUUflht/qrIDUUjSxw6VS2/Z06E2yT88KUxgNQ5+VfrrDHdVOr4HrRENWgFKst4g5zL5cIWRa
Telsk/vIiRFo2SimGV9R9l1xlqyD/8YttZBTewIZPdc8en+7wc51Hvj28EExNztdI/rjS2CQUPlC
RIg8B0J7ooytDn+zXyAZAETb5es6akMHXzd6EkG0sNo5tyEj/sjKX8RpBYRt77qxbV6F6fqunMbM
c09dss7jezJVQ8wvLYBFCUjJ1Veup0ODs5B0/9OVQbiDGD86kFSZ7b9FOwduClOz6iuUQkQmJFFE
mnpqSOMpE7+LHlzmYfPZk0Mc5msAPVcYd+GCuB8cMaLwmuPmLMIWb9kMzz3c+QKlXo2P0/V5NjMJ
utSkLjjxzx7ehBVugNfxeJ6XSWrDPWpzvHuirYYLDr94nyHbC/Wp4kEF9kVp/9L2tZvcTXFVo1Wo
tVefrNBg6G7mxDe7syrAIpFMPRzO/D2hYooZFUTBIRipOTwHXK3dCkUSBMxwPfREwpTbkNa2RPsm
BDITBYy1qVqTnqtS0EFvTJzXfZBsUnxdv10nJVh3VZyRwexD/5Z2E9BEaC1dRBBUaII+a37L5bH2
yXzVQK7/OZYG+CwBO96Y4+qOQaMR0/O2Ndl2bYX1/sWLiKvTDP79sz0WREa0SsFlhUrib3pSrifO
smNOSqwIS/jE6HlCThOfOGmo/uFFiDbn20Tn8Yh92V6ySrrJDeVz60rG7cCnRaiJjTg6XDRE7PPi
XDM2ppeIX/yXy/c1Md/qpLn0CJX7P8uMU37OyAEnnTfJ4F9BC9Q3XMY76zVHpVn3rYM5VBFLy37v
A0FOT2MMmp77QwrIt7SpZ39QN1tTRJlKT+n37ViuYRS8qwjjVnlhMRJc+9Wd6G9QLncWUWa0cJie
gLSdecKH7s5DYCp5A0E5ThzsVzfDvM93QvPrPx/x6v6CPNuesjTIPvzBh/UWC93RBZ92eXgQKrpf
zZw5Xa4hNkUJEeQF5y6zkBug8D2KMAsQvk7N/JSY0DUlqTmWk851UGmuEc4ZhMuL8U+g7h2kn9f4
6MfB6JsfHZkmM+dynq4h8sG13pMhGJ3bJmAQKLMJGrgI3Q67Ol/4zvETzQbIm56qLC5N70Z3PRow
8bSPeBu15FjLZS1QpTR3vbbe8BAcZobkW3aRXQKnab6d9BfvyeUOE3M+p/Htzykba46HXaX/2VG3
5ocFAx4fGEn2b0+DtGIeHtzRvUC9Mo6EsZ78R5CpUZ8cNmlFdU3bt3ExXZgHlR/Nzwf4L+NUV4MN
M4Rb582bJme73XsPdu7guCS6B/7qtzNpAlH44oz9EZTIuizQcdwE6feWYrjdQLQkyoXBtsk702qH
r0lljy0LGvA1xKh7haA5+x2g/m7Peg15brKst0gZg2D/u27ZTg/sJqjnGiUND1Wl6y9Hzdn2hHQc
4jWEVp0fQ5HuqEgBi8zjEazbB4LabkbSinIvn7YjlpdQI4Y61TpzFlyd92UpRptsj8fa+huDbDX+
1gxCNfcno/N7Vw7DYh/5XDVlgdzMc8odiP4bAwojJQ+N5jhmPJT9dRAc4j5qACMkE/4ahtNVYzYa
VI0i7qef7GEIDhJlb4PXu3+mbE5eA5T66/eeN/2Wdd9mv/yqRTzuH7LNbo2r6v7RHsE3YpU26XTx
kd2i8Q3oVoXyIXt/Hg3I0u08T1N266kEfiHUW/cr4s40vnf06rcXJqDKP/kdRApJRdnmgHM51cxm
G9eNvW0j8KiTWePtb0ar3YpFKEWpXkZ3IAh2YtWvPG8B+8f/7aFFkyjzuFHr/0g7sx23kW1Nv9Ah
QAaHIG8lURKVo9NpO+0bwnaVOTM4Baen74/VQKMsJzJRp7Ev9kWhKlJkMGKtf/0D9IuaTvhxAUBS
B7y+6nhHpVGR3dqs5biDFtvhjkkkHdj9vLkZ0HeNVC3NSu5xRzG2JdSt8bCX3aKAwpTQ9j7huWNd
pdtJUV14frM3OXC3Ehbd4EEtzL4B9uFQXmI+wWC/ZGCY+6KtfEX90rT1Hhtk/kI/aMzu1zrntkg3
frRewi4QrthbwOJfs2Iqpx0aUFuEWqbSues7xXt0esyb7/C1gELdBKLpn0sw2vW4kFGy7cYAUA5l
Rl7uV6+vy6MDVWWBikl3k+PkASeK+5pLcPTcF6sBaNpT6VrVqTD6pruZxiJ7trqm6vdjny/GQc+w
dJnI2nCWHfDrh5UEDuNI2Hllh3WTJM1lsto8vXH8ZqRStUc4mjwa6s86m5b7GtMELL7aUuGuOucq
p+ns657SO1gu6EHy8gXFszzjGKqfWjuFPjS3TfN9cmX5i1mk/0w6DZC4FjH0ewJQ74TpFg8lyufH
qVZDF85MKmB46kU8lRTCzLwZdz85I5cQM00skKiNpm7Yx6WA/mzqfjxOdW8Ht8CUljxoP+2/8TW0
XKVAAIzGrYlUB0UV+rXyxxGxxNJBh1sS1/+VzIFIwjzri3kPMa5vzkHa2r8qA3pr6JWQKmgkydzD
OrfNG495dDH/0EgAvsw9d8Q20/b6o7O2hflgLZzze8YYoovsTMfrqYCy/hWWFCIIsVT+s0XycffQ
QNIbgKykNYGz+LF60P7CId37IzZ24+y739OsyOUJqINpmUr67GLLJUDUgIN9eeZSH6CeysQMpSu7
KoTTCnmuR4N5s1JZLjDtMBi8VFZgfVBDr85xrSA0iTbmRy3ZFFPIKNO5+LLilLU71X8dK0OYR5nm
nO/07Ryy/JE0SUVWeu13iwvl05x6fbdPscexQ9NNbf9cZRT4IWoop6HKqV28oeJESXQvDcyy3Juq
n3Pp6y/LYrT6YkhzioohGZ0nf1j9xWGwnK1/mc2ErMepBaOACS+xrx3sfPdm5eA6QDDPa1S5TRsc
V+3Sf4Hdzml1tIzZypAwTPoxNYz6Lxw/6IcX0+y+qazM1RGqFnzlfByB9lXdKJf6vDa/EJ3Wp8/o
cKZPdCho6mZ/CQ7Lyr0Ja8I2Udd03MMLpfoPog6n+WAozUFGQDb0LNP2oT9XtJj3OZzLT5gKMG5z
2rT9KeGqDTu/CJobaStStP1YA+b0a5HdAH2wf3C8nfu9nwr3G8Hh+ecl8zO56xmYpLtugeaB9jpb
x51Tphk8rG14eOuTPTOHVtxTV8rBgimO6Boqx2QbAgSlX3D/GnDSeHbWKmFuAU/ip9SonSM5Tis6
anP1uqMUEMX3sTnb7cmmTIu3uX6Q7UcGGWFrpFRfONirnxkfYnoZamRrgIlClAdjsjlgtaGcjouZ
kva2qhhpwORv4ZbAKIRAXwsagrDsfaMPmyCZ73FOmrwfK08SnxUqRvOmkU6FSirXYjymWaDt0Jvs
pTiXcnZanpfLGVGu5YDiZ0zn7EBbg3/9bqaQ7Mk8YRYCSN+ob3hvIfriVdjZgdnoRjhqzOCH2cC8
2sEcL7P71ezLNjQ8H24XFYnj8HCdmrO5bsdYHzvEMv3ZNwDdGeWusGa7wQJj7uG+9gcSRVQA42aB
4ptRfiPcS4gRC3H0FlBb0uG+kFNzJ+XQJweZDom89ezF+mHPeBczWR0n5wSwNC+nPgum5nvRy17s
sxGO/GVjizUHYjHAQID4/PHgGQkqL0oL3z/31pTnd2trqZ80x8sT51mRnVDSZHdG7+nmNM1J5t5A
Eg+esafKftaDXjA5g+XsQAuuO+K/VJ2ltJRYeO8qOXI1w6qqM7oSaKd7xAbIkRjfJoBMijbxiGMa
cX5tZnM1Q8RzV0K1x8F5RFhlZcdYDPktNszrEPaUusV9T4dxrLWN71ZgtB2nJRGIvwjxcfILxMPx
JXDi7N6h05gP0BGHvxPPlC+Njezq3g+mTp3Xzhw+yHK2i68mCMT6aU3GqTr7w5IM7FFUJIdatmNA
iVDIPsoTyd3C4Wd9mi1cb/elU3LKUexz7HIDanxF6Zp63Git2jkZk3aMA1qF+gkAO/uljNH42UDj
o6/TTBOhDurqu1HVVIjSIrvgzMzIy0I3LQvKp3xOQ5JVt5GXb2cQlKhmbzsQhfrQmtB00bbbhRMW
ljRcUPtV/qjnlOGdNaIUonppi/Uw16hMw1Jm8AlHbNjss2fAIDnlehVfpYZRdbAgZpcn05PxD2/i
T+10rHE8Yh73gGoEqpWeocVsbjhweYaqXobIBfs+Ft4ytzAe2EsVgri6+5LmoyEY82wOhJ3tTvOp
BftsORQq/zsaYvsD9Arxg1N99DYuVZEcARvb9KOVmrqB288dPXxIi0kxwYFlGod5NS8T14+bFWdL
JII621toLqG51+pgAI+/qDZ19MleaLWYaSWquksFISpo+2KlH83UbfrD2C7jbTEWNXxTyJG0TjaT
wDuEF8qEFputDP8ruyFZ0hkyPZ8NC3h7B8JqnUVTeiY8rxl1D6KNPj9gCFTfuHndOg9kTqTd0TM2
GKYfg+yRP6j+Bs+Y57NbmZNRry1WCqRA0nLz0Y5nhh56HQdovljao4qZ1NJfcqmCKgxMGGoFeju4
+JiV+yfOOHM8GykEVsgRQc/pCFj+DEF9oX52W5HcJZ2uh/spWFeNDlKusBdM5BCMLgY0L71Gan8C
04/lE39UDX6LdCfeT7Fpf4oVg919Y2W0uzJNgxgyXs1hHKRQBhdTIzsfoQ/cxsJw5bFG9HBTFGz6
D9LEOelMnw5Bnx4LEp3XWkb8UhazBg+t1fTLhYiwRrRd3XwyGPPaF+jyFJpeXdhHqO4lGynPijut
rAl2Khz5Z9RTsL/Yp6p8ovgMfkJ5LNANy0S3eyRdgo4Vg9D02WvT5Ds8I7kcG6w8XToJsvlQbDlS
HNvqn7YTpzyb7w7M/aeYmm7awafN78CIuuxC0kM14sdV9L9mkYJyAwbB+28xDWQDtTVvO6NwX4+m
q5v1oviUk0PpZNljllQ5Cg3Jp/yZ27lGCwAzILlLYUv7F4jlmX3QBXJUyJKMcQ/xMrQ3VWnn8R4E
z//SYjpVnNAOUsnoqsibSHZWkV4skSnSNQmGQKDDiAn3TKLPwWZj5t77rnT65sukCr4yIXJMLbFL
IwbBrc1hCEG7/fIBoi5u+968oE5ZRJM8EB2nuHXHcg4ZAjhxWOUTEHdj2P4nctUVjJR2meI7PjIo
Flsz99FMHEufy9WncomlzxHhuQiVPMS+/qG3eq7+wG6Ud6tniexAAgNw+FqTvJsKb33JOhe+XA8o
H+wrO2bqFhQmPY3Ix+WxYh2eCkqFjA+4oRMphKyzvQl9wA1tkjemsLLRBYa15YBQqARcb6c7mFZ7
LxFOcYKOU/hHkfmVc5oNhqV4ctXdyfQz6LVtv9jZ2fHizDmOWWpv/DE3fxiGKVZw3AqveVirLqs/
8P0qL4otY5ojhBTAxaWjH1KJknavmnSEMMpDpBbHvkqYjaXvcAia/UvQdPV9siBoj4IF1xHoL8VK
D5EtPuyXOP+1onTtIsabtE9AUkFmPlaG6zc7LNYKh92Wr+WhGlJXHTrGqD/6ilF+KHtDdftWgiFR
Yq3Jhx5dwPy9HWxmZBkVWxHGkEO8UzMy7To3YyepHIlH+GVzRaLxkOQzHUxP5PVp1M44PQ6WKjzE
feXyWU74+LOEV/kIFuzuxldzYp7MAd7rTq8J4wksHzjY6wS9IjhUy81TFVBhdnPhWfyhcc7cA3Cu
hK5sGt5fQSqTbp+IOc32fre0VlhhaR3NAcfnHrYlNqfuKryO+2vu+k/9mKwecyrSlRRFE6V1l+jl
U1/E/oeEEY9F6QCl/2A6A5neFsQk+M4qRfZcY9+MqqN0+2nnxrL9ziiEsX1QBzY9rJNCNeThZGAW
1IXFGTK5VYTClitQjaedjCkYouIQ+5xEHq0O8D9aoNIAWtXQTynBCrMHDIRed2jllBn7vOi522Kc
H51oXiGUn9258v9i5oAYCzgoT0J7bmc7XFW1fOIrZpyIGHPZ+dairJNd40WLocLoPLfwD9WtCqZl
uCStO37mA98S+kadhFWg1F/2YC+/oOtmKMhaY4ET5lM8exrGJ5eGj/6pycHbzUANTLwR1QUnY+7X
bj8ncbyGnW3TP7HdHxUcqV8M0YMDHMBNiwQy3b2sy7jm/HEetfBEu4G0ZEzaB4ZULeXhDOclonKf
fOryrvN3Kl459ewAi4c90ptahYR4uPBfWk6jw5xiC7+jqF2+jIE7fLRbq/86V3I5l9gUZZcWnPpG
4pS2iVgnxDclQSrweCX+/2BacX7bwoF7EWnn15SWymqgYXNws+VlO4d4WsUgmsStyLM/GX5xWOwU
aVAw4byR+pAdTg1EPywdjNaHkeAn9SNBYe1X7G7Tp2wpjK+WrhnsVJLb5BZvrNIOASpHdw/x3b+V
+YyQhMQdByKUSaifXUgIElUspvM2BGW0B+keXB2G3V3vzM0Pk/jjKdSzgxEBhgpoxqWvEu80k98R
gAhCOXoaFi+gwePu2dEsBZ97uHgZuplYe9gMxe6zC5s5Z0Qj5mdZre0XzymInbItlX4fOPXmsAR/
/tEaML52kIyT+YQrvfmdLYFzKG2KSV8kp/kBgwlnc8xbXYccka4owj7Qff9IzksHqdperZ9eu9Z0
I8zh6oOSuGkfklU2HzPcf+ywbXTymGEh9ReXufQOhi4XQSNt2TBr67L8UTOpm6Ggt5K+Zp0cWHZ2
wUirGxV0otWmmF8bNKtwY/3CPUtBc7ZP4d0DHgk8mHdehz/FXlgpEw1nTgI8KjLsjAYGNPpUJGqM
ueYn74Uk9gl9i125D4lM6IWsPLBfxlgKcdJKzh/yrEzKGw/iyi9PjtlLbzR8yxXf1j8Q6aoPON5V
co81UvpZKpWP5zZb0WvIRAZnI7DFdI8+jJyvMZg1fEqR2cvF92CdUjyOoCGqIMN0Vwyz93WZZmgC
sw6G+FQwlr6xEO1lx4b0FJPSqN9gYwSRzmk11uVWt8OkI4EELzh4BU0risMpkDdMSfuKj7DlrzC0
AohGp5kXzEDxlDi41pA393USY3HB7jU/FZwW9QnKFllPhl0s/VPh6fyx6Jf1p4XaIZotVJXbnJxA
+mFUbUJq/OKuiJN8AOsg9gKxdxqqgKj2WseEimLgOedkaZGcXLwZGMq7jkoOs0N9eQKRT61vcz9P
z8oZjf6IqNG7W4ek6k4elhBfM01nAbzaVE8QOutpN7k8OLYBTgV7bkzcNqbYW59Uqd1lB5CwwN7t
DHzYEsuDzaKNhZaHbn9JzgkYZSjMmQl/nlWWQ+Eytn8NwqdJGKAWDLth8maHbmeNP1S6so2jjYDg
p1mWthc5k7D/1mvjVkArnvkYr0UF5V75+mWLkIYsgvCfUsGpA/eyQrQk6h3XkIca7yqozAyT9GVp
Rnc9IjavH30AcG4NHEi/TwjoAc19t/8eeFVqRBp47WOLPiHfIYnO7gdYxDkzoMZ5tIDC2WWLzSxA
LCqL79AfZug8iy546K2ynE/oMgnhFdtEBgZN+9GwBoApsxZBGrpD2fL5GN2gH4IpmZNwmUqixHqc
39WZ44mKK6gsAn3ZjiXRQbNflOwniZdIVsMdSROmY5xEg2+fGuG48Hf+QYiqTRkKtsE1tV/Qd9+4
ah7ZcRUsJgqnlEkMHi4aaqDFzOpH0aXBQ871hjsMF8k3D3lXd8nSOBGhMUvwBwCJyQ4lHiPZAemt
fBLxakF5t5u0Iq6ik49D2nLK95oiz6ha1LFY4sDbA7hgILdjnpDYh7WIG/A10cijyVwKjlOd2u5e
M3sBfzRN9USRRiE3KdNC6tZzTJ1W114eSoszdDcujNEmN8+2EroDb15HLwcZU1m6z2Z4wLsxJkzp
xm7Mst/kKJSSP+hppMQRxBUPPGfuEtc1SQxDT798cPDj+hKrtsd8IbXh4a8ZJ8gR166hu5h0ME/J
JAtk+G6TQRFCUDXuVA4d/Q7YASAsUb3zOfaL+HFI1vjOZFIT3zjKW+Uezw1jCoNgsqrduljectMk
Dv5p82BWv0gfbL4aqY4/L5BH16jAkesXw4+MQLMaCsQOVHHEFbxNwcasOKhusYfm0LWdMf2Bn1Eq
T5jKEZa4LOXi0f5gixAZsmkf4rS1QOA9Gq/Q7Rj18RrSGh2T68X2WRqQ6NHjeytsxq7tmEEo3zo4
ddXuC8IG3TNjMUYVsGPy+OCs0oe8BtOZ7I2i1PUTmgf9uOR6/GBXqueYhtDew8ZP5y+ds/Un6EfG
C14M0Mb8opLTDWdcbH5kNyKk8Ba7HqGsua4VJjFgCUJQ+Gs7GtPNeN8cppvYn+FKuoaLWybDu2rv
+YllJruCiKW/WybsG2UNpfEO0H78qi0fBjh9SveUDg2UfdxwbhQsKTeMF0Zw+DYl6NFiO8n+Slpt
zQco41i/bJ4ZYrdC+YiPLrjLgGGAHXxxY5F+xqpdfSzmjA8nc+rhvHjKNBnDpM4NAp1E7HI2Ddb/
1Dt56BY2rhJLZgYnFeT2LVPZoSaNG5j7odYlnByAavd5CPyx3zXa7vgQoP/EwAkJN6ZD+djfr3HW
BrsEsyp331v1puJOqGtCI7HyF6/P2/XYMmjRj/yp81PH5YQxv9EGIKieaw/hitwAPiV3l8fjcplw
Vs7af8byielPWfrNzz4YZbezEs/nqig1yg1IHHBGnG6ACZhs4Qj73I6r7NSZM0wfTHGI7gANsvt7
sQbZM1C/596zEUs8Q4Wn49BqXe40wH9G54mGbQ1o6bZJaBYTjjD8q2MbYn+Mb0EuV6zw0DNi8s+z
RXMFfATwirWDzA/dOA35scfSNqXBSsd7IUZzMxHw07t1tQ3/YxI7y3O1fYzAEzldbqMC79mEAYK9
gdsUN0nnlzYOO0H/MjL0nE8VGvv7iguBOLWaWNiEsZPiatDTtwFr6L9xTHBuHaNysDaSfuzvEwcS
9QUlm4mDc6PmCHci99J1RC7uELbAiliprNiv9PnuNwtA9IsFQ5OyCc4RgCbyTfnRE6XdhGM3ejjd
cCHve0RGEUYUY3vin6XFrp9mxDel8BrzYKMsqo6+o5dvpZxAttcxDZKDoAOuvgHK+iES3w3SsTvq
Zto7wz5DKNSX0R7BkQy/dalLpBt8Z3omSkT4VrrdD7hDo5coJ/sZJzbz49yL8qfBPvnaV7O6S51k
2WQjMSeoGy/1T4T65qZQtoDLAkzs/k4rgzA75i/evFu4v24CdvpyUzpV+WgUeeHuV3jB+c6VUA1e
cMZIULuRQ4w6DXtmcPuVTpF7hmHzYZib6WnO83V4Uozr0E0F3fC5ApOEGooR/QsMi8k/QR+zW1hA
NScloZDS3bUtjed5MpXRf2MwbtZ7MWVtcwuuoS6K+mo9ddBiRJiaiYGkAQoXJj3VnH6gDhHfrCSm
+qxXaCNwtgc4cKuZtwN2OiQ/7FrmSgpY2W7y07oGC4qyuqR4bjwzYM+ltUOZzAE4HytaOE4B1VvN
AzTX4h4xTZffTk3pQgUyK0hXRWLXsIVzJwldsOSGEnLc5qAtLowfcEFDuu5amV9HsGQ8ew8vK/6O
A1eSPzba7fIjURiiDjsRTJAyfdHeE+DctjsrM/mrEdoIcRE+9G9Y2n55Kq2qTC8ApIq6jXiiEVZW
v5gvg98Yf9GN1zzdSckPi1c5UC+XvPN22Ebq7GML9etoJ/Oiw1LMdPyrGHsIsHasjrDq8kcLpyOs
opRq1vusbW1iZ5HaEAAH+zap7v8HZqBnDNkwRZ4/phfsORt5N4osDnarXGbr8D8itjsHUmwVrfFI
UpZV1U2N5Y5Tl+GEK/B8hIVuKv5TK6QElTfLuemWWoal5sZaNC8O4UQxvePu+YqRqEeBg70m7q70
KNs//5c1LsPPhUFPoyMMo8295SobXgj8XUGf+Z459Ga0eWUkikkIGKuHFSX/uzISzTe3UBQ9OtLY
JBxiTI/CzBP+/YI5zB6ESH4z4pV+IqAOZKYN90xRjSMEzO133DdfM4qUNtHxjIUksUxXlqAGWxq4
zNRRL9fhqPHDxCY7G09vm26+4oHpSczhfGFvqQ72lR2lkQDjLrQhkY67j7zA5IsNw3ybLRoR+AFN
VFsiyH57UevVp4wBvgWfmfCg60yTGgnkFAM6RtM4Wo/QGPyTIyxj7zCQOVJ14VwEvyasem89NFPR
7gg3DfbNpN4L5X1ta2Hb9f/+kM2T9F9bC7elTnYeD3msKtz3oFn5vpXdIBcd34loffV1QtcgEGoz
dv/D4dWbvVI6nY485scn27fdew/buHc8q19dRTqSp2XbENuuXucIP0VbMEQjQTor6JTjntXUueHb
7+/VTfOvVa6cse0h8WBhzTpqEEVHJFQkoc906AtOXPUl7yBSUvON73wPr7wqIn9MQkwtU5IrfPXT
CJAPABodHUn8EEO3WYZ7XUwx5m3I/t7+fa88RbigsGo86Eq41V8ZoGvMluCD5DoiqE6gnx08/whV
kuH5f11HsBtMm/QbCyva68MmrTnOIbGw+/LevlergCq6zsk7e+JPX11WoYy0HYlG8g/HWcwa4YW7
7LwYu8Wjr1rxKQ5mY76sWS4icMBYvBPNvr3/3w9R8qiIlOTskhjIX+91QdSJxI+ojygR9OfUpc0w
8rII59pLsFTevP4LT+H+FgvxjvHtP0EdV2tLQhMCD89x8lbl9m7//UUzdUEIlq3RMBqeFRUQfbFe
coyABriphYpGCe8w6jT12JmpgNfSpljuRWvUCcfCDFr6qhhNMTN6fFvcUi7VHklE7J5r5LSQCCp8
QJm0+kFyqaTLFL6B3r0rkeRXIXFQMGQrPE9gCpar8yy71W7eOT7/3J64XHMxODBmHLJrrtIHraBU
WZaJJUr9wnvGKAoew5qaH97enH9+b9sq237hhCYc6ep76wqjcJhpLIyqsBlIjWlAXJiKaGrW/vT2
Uq/+oMAL/MDBQhFbpt/fmYlUdfUTyVLkZYeFAzK7UQff+apf+0GEXJAgZ3uOB9D++yoYSAVdFziE
DEIm2i+9i/XBSlOHZuG9tMFXPgCQTRNsla5HMpX7fSm4zTW6RX+OEhoktSurCX8oPW2WRhgYivQW
m9X0+xRoaLeiNJb0nYNl++9ffQQ+y1uORLLKXODqAANNzSvttHMEXGIAIVbMa9UETQ/E4aZtzfzg
2eq9EPJXnq8PAuiSVMYxQ3Lz7z+6iZssl0O3RLmREenhTWUoOz2FNrY3//1VstSWk+CQ4EGQ5O9L
JV6OiXzB3syd+cURs0bdxazXs53qnZVefZL/Wulq0wytgYWMrpZooAh9grvl3deBWpDGiDFqcTlh
Jut7x7e/h1cXDZgm2gTpmFQcv/889HA00D6Cjh7yxg++mORn1dC8+LWw7ipLi+8Lk9cfby/62utz
uPMcHqrjm9d+4cjWEoY6xRQlaFwubYXGynBQPABRd+881NeW8j3hwMULLIEj4e+/D+9pWtSpmaPJ
wRR8clrER9n4t56n4J2b6JUnCXnCdBl7cBeQQfX7Su3iqHq0vCnK+3F4xEXUPi6Eh3xitNve+nEC
fTEzf779IF9dk6ggNGfcgTAzf18zW0AUrW08OkILrpj69uVNicX8IZsxTsIjwMT+Z4FN7pzfXvjP
i962LO4D8mhNbwv4+H1huHB1gS9Sy6XnpsinGbaXZGD8pSqt/rYxKUneeY9/ntss6Jgu9yxBH951
aFbHhzelom/xsjd6eka85Koi6995h6+vQklL8Sw4u692i9XXuDvOQxtVaoY+EkDb/xDknnjnx/y5
KfkxZNH6XK3iz9dmAZ06Yzx0UTfhZwZ7p19PHnjidEhxL/719qt6ZTFvu71J5cLS1/WvXhXTrUW2
WTpEGO4YNwPxg8d0jqv7xWzeC1zatvjvd4GNBSfVkGdtoQrXyVzB5LoMFOI+apq+Hf7Cr5kuSuil
vMegENb0yPBxvCDyiR9JMCrpdC2u+rd/7iuvEBMkPj/udsLgrtsSHCDXuABSjdw41bfmoKG7oDf6
/PYqrz1UqpWAbo78IPf61vOzVREvpXSUViI9xmv1HeVuFUoHtvHbK73ypW3fNmHfkuZVXP8ehgtT
as2yi7x8NU969pMcDBszaGbOoz5huTr898hpekKCfE1aIK6+6zuhUYQp2FgTRGZnzI/cBrgKeWtw
IxDmHt/+df8UkFdbhguce4dPeuOvbifcv2polH4pPBhMkRy0n9VlC6zrmJgjz9mhqnAuvdupv5HG
Tt8JIxAh56D5LLD5fuc8e+V9smGEIILEpm67vpFgNs+iFRtvAU7vM961jCn9rDfOSwW9/u3f/Mob
DWwMhznOSEXiGvz9J0tZlZ7OMh1lsLtujKlxP8WtrhD89QBF2ECSEXP4r0s6EMg5Oh0IKgQJXZ0B
MHXquszyPiJiAicH1wuZvfYHE9vzfT2hWH97uT+/QZYjhJFwFZMxoryqZNYJuCsd/C5KrVRHGF6o
k8FvfWeVP98Zq1D2boFlJljd1XMs4RU78RR3UTYE6z12O/6pTALI1ZvVy9s/6Hop3pQpPbA6bh6P
1Kyre8FoHZz7tcEAvRvbS6/sHqaqVMfEzf5rwfLPUnzsto/nYPBHZCMDGFhkXWlGJInUZ4qWF4SD
06bKSt55ftdv6XqlbZ/+69OzMHAoikERUJE203HSsXdwDOw73n5013fCtgoSGpM23aLruu5Pxnyx
uCm0FVlUIziuut5n2w5kRM0uw3Gw8hBXyOCOzJQ+nPE4fOdje+VHktRl821b1Cm0Yr//yIKoZLKL
sIwUkC4uteHrc7aJDd7+kdefND+SckhCeEHo6APk/L4KZl6ek3GyRHXhok2v0KFm2HiSI5PB6iYO
5j8m+2zr/d8aRbAnkeH8vp5eDaqh2DAjBoPmuK/WIn/pOokf3du/65V9z5OjDvJhyZh/3AQjbJ/F
qD2BeoUMV1TT+YrH0gCQi8YGf4N3lnvlZcE85QEChwXIwa4uA1e18MbRH9A2u4iQ2jy/5eXK6O0f
ZW9P5993Dk+Pg562Q5iSILzrg0MMXk4zCwuPL74PPmeqTgE4HNU/t40BB8wn3S0DU0nSY+30C+kX
rRBctysumfBXR7E3kszC8MTXMjsmgdmd2dtWv+/8AIZzu6YLKQgcq8jSmed9UF09GAcMdbzHFa4O
0E1p2M7Rm4os+Iox84IbSiNG+NfoCQRDMYJOLnNsFnqPg0yd7knpMeGOw/hc3rl/X3vBPkltlsnM
QwJY/L6R5kTgO4NraZSafh6t6A13uVEqwATEZm8/9le+EWBTHjtR7q9ASXmOkQV+8iu2Wen4RZJg
EyFHmw7a0c3f8zK+k7a83TFXL9lmdGDzoWz4yHXD4HeTrleT5Yjpw1doTapfBE36nxKSKvaY34oH
vD1Ifq7IK3n7h/5T/P2xtEurQscCDHp921ZlkvdtC90KbDdxb5rayV7gQwRPo+G7W9aqj6ddqpOH
VRvti6h0e4TX7z23sRJfJpwQHkYgw/Dtv+qVN/0P/gtDnYfyB1xfzZaVZIVDDCoC7XPSDf0F3w/1
CQZd/s4DeH0pRltMX70N1/t9UwXOipWB4fGmBxPPSNXB1nGz+k4ZEEz+F79qQ+kFIBDn+9XFXI2i
JVed2xIjE7RLmGQPh9JI0ycU58Pj22u9soHtrX/ygLgdgqavfla7UILkvb9G8APW4nNCbfdphkxw
p0tMgX4KsRjvXF6vroiScUOebP7vasXUqLLEKuo1sqZGorHHUhLWG0kvOgGHLZP3kqmv4QQORu5J
22VKQNX2R//Wj0Yj22JYoiJNxGEWqB7HBiYV9IwKpmjy0wxs7z9W3v+syZ7kIKbiYfx4tVlSeJxV
4nIA11I9QQ5BzwkF+KSmMvv/XGq7fv5V8AyK+XUy+ku0Cj/PwprwgQ9VATdoZ5SmWN7Zmq8+TJdo
WenZZBpe1wRYBXt+Cg0kCvrJupkw+D9ppyx/beT5c7I2zWd8cZt39uhrn55AxeUww2asdH21baS8
ZtKglS6io/sZg8HT0HQZdkhouN/+HF47YIHtfRZzfE9ef+V536HzroMZmb5gSJGo9oxM0UIuWeD8
NVH9EItFSikE3HdQmvdW3j6bf79HzE9zY6n5kTAT920lYT8FC6aicx2cndnSf41pD6eg81T9ztLW
a2tvM1w+NqJt/etrpXWbkQF8wVsdu05xkw/xCKNxycYDNsG5vydqJJ0PNW3RtPegGEcLutYcC/44
uOCj5Vs7EwFAuvdrJ8HiGnU07mrLHPu7zm17wopWMaGLnvD9Cd9+Ya/tDVAgih/mEs4flXiVVrG1
YHcWtaVfHqfAkAesA0qqR9N/Z++/dnBRUJiCOo5z67pfMkcsnp1pXaOxa5djotL+TFyOOpjJst6m
qVpOb/+01741rAIZA1Lku0C9v+8I6MB2kmD+Go1BHIijo219B7clTh5HWwk/quLNVcIq+uHp7YX/
mRdd3/UwRpAfcNVTKV+t7CXccyYGF5EyZtHgLZE537uAFJhokK3fnRx4EP6RpK4iC6euSHE3aJG/
wLOc3ZcJ24T6AdVJIbCWz5AzxcqZ/EOzZFjF+9gLFMce7bd5Vu2Yf6pwQtu8cuJGI+BIu+QCB3/9
lLejCUdpcT0opLDXnG9Dghx7jyZp+LkO64pfhA9F6IB6pn1eplzCaPbbGVa+xvHuBtccm9ygtx/M
KzsAtBaPsIDbhCr76lif87r30OzOlPJ6szFrrNK4yYt0+gbdNi+PvdZZe/zva1oSiAycH8j/uu5q
yJRIx8EAgVdo6w9tUy9sO06GEMJrbCFWHQE9/jdrMoF23MAG0r0qQLoEdHjuWHNxZMxLsCA0/x/O
zqNHbiRNw7+IAL25kplZyTJSOalauhBSqUXvg/bX78M+7KqYRBLamUM3ZoCKjGCYz7xGcDecDGkc
X3rZ2dlwyxu12m8ALngqZY3yO32NjzsdgUKtDxCh98Mc7wY3ENjYeAbC3XvAmY0jpVObNkiRTJO4
YPUBHRRiIZ7lo6+j9hChMCErEto+OW6laLWmyPxH83yftFPy4/qKblxTuo7EMvEz/6Ap/HGG85C0
pmzQ21ORGccewown54hlj9Yfe9VQd9qXW/uUPaoYuoLcDfW4j6Pp+YhmLUQqvxZzh7aRQAhUjyV1
PFhiRq/ERMB85x7eeEJoYRhsUZJXijyrLWOXUSi0qJ5BJKGq+SDShR5sRqkJ5DH/YUrSg1VY2ugV
tgh23uxld6x3D+3SJfxXDDyBV0OjhlbILempz51Sn7n8s2MuAOg1tp74OMrqZxPbqkPRJNLsVn3d
7Kz21rc1HZJrjAo0aner3UsJOCc4V7gVRPFkYyXkY3jwc8aF5eb6JlK2RrLQEF9qPw7x1/L//xEj
pAqqWkVY810Jk9TPUWJQVIV4IBUHVHroiLjOnFcPmtXBDcbzpfhet3VxBqRlf5XzQgOFCLPxJ6eg
Nm9jcCvCR1qZOtL137lxnHmucA3RVaIoymMffyYYFWE5+Tj7egR3U+0ESuAtLOSdUZbDuvru8GVg
11NXpMq9jlokVcFBEFlIX+HVz26CPu+qO2DX4W2HPxBE5X5oNHg1SnJnYcSJ2lNYzN+o45a4k44p
1BYA9MWNbMWA/i0Ixb9aGWQ3SsqqhsnJrFrCQ1EMNT/0eqCYkGJi9RXkE3SPxHES66cptYjaIgkt
q3fkh9l0ttsa02VTt9IBIdPcQiW4EhMfKU4rBPgFl/V9P03Jz1GPqic9DsPfamXm4hAMSgh7N8CA
zcOsFKMalPKbWw1VuvCQS+ZU4JAzqLea3ObFt+sreQEnJF0xqd4rSyZIL3KdBGYIxiKWEBqk0V2s
vhMVVMO/HWI/b/Cro/ZR1ludnDfuzeGu7kYUQws+TORRSJt+W4DE850HaGOjU9HnKFGfIyhddxNs
BYHLrFZ0XytBvbuhoXwhy9cf8R4cX65PfuOuJCek32WTjzL15WL740zJTlMMZWXgrSlxtyDlJmqk
dBILj+FQwBt9ps0Q/X1CQxmFGiQwGoZcX5bhHKsx0v8aahC5aZ4JG5z4NKh40Pwz6Yq1121bztvq
oNigggwE9JZMfx1CRO1Ec3FWND/X4HBrsBZuGhMLAJTX8zfg28Mpl6un68u68R6wnygemzq9DGUN
FiJ1tHpRRDpdbQv8KUJHKtbidj48NrVD9Fz3lKnCOb2DAh3uAZ43LiAM6QE7At3hSnZW33TIZzj3
+C2CSkWhG6oT8llIqv/9NcdDDjKQTilEkjVSbojxTkmnwvTTzhjwprSw2Y6UPb/7jaNgL4igBbJJ
C39dFU+E4QQ6AZk/In9/cNDywmpNSEetpHN4/Ztd9C25B8gBDaSqHEdh9ZZ1/eMsgMOHuYtFs9/0
FuxyMzfudVvEx1gy5rM1WROV4lz8o3e9dogkOznM+J7srOrGeVwQJ3w5Crf8ktVvMOEgoCmVWL4B
7egtSwyBqLkSnEp7MN7wCQ/3GsNbswZUrC91PRVwrL38oj9mbbeZWUH2MZdot8DQ3oAuMxdQNB2j
OtBLwrdvwh4nHUZUWMN4wJxxtnYuvM1Z20T5hIj8mPVxSSd5GqNMtpDmdPRTCivXwy0HvSogBYdS
s5K9lH/jiDgyRWuVO3/Bb68wkBDfMzMJOsuH85TYCIQ4KUq1enEQNtYmVqUvttd2/AzwAeEoW26x
tafePxlJ4/aUfA/oz9s3MRo0X69vwq0fRt1Tx0dKRSVGXgUPSokE/SBLBmfX1p8tQlzX6PpwZ/4b
VyIr/X+jrG4IA4EkzNBj7C5SpF559r7jS6++jYP+o0cA+LYdhLYTpv7X6Fldwzw0dKzp7EKkcVY7
G2l6QnabV7Zq8k5yK0vqmlNZjBV2KDgCuwIbF3g6GaIBnwv0LOAqVQgMPagJmsL3qSz6b4i1Tmdc
boL+W5xJOn4PaoEAz4RSCiIhILWQWISuG3rNMKTPgTngZpSqvelRH13Y8lI2fqWHI+GAGIatgTuf
0VqHGMTKTZQKNNg0rH9hHCLjj2VMkyjBAWcSI3i2gxFcUqktdcUQKH54aAe0HRDZNfS9Fu7mgdQo
9cFHheAg6+rHA2khjoWOdGtSCisn55QkBG83TW3J0VlJ8Xx120Z3JFeZYuusmN2EAIMK+hVCVhSY
N9e348b1u7R22I1QSABjr86JE3fK4vpi+jOdhmNihtijJSrmXk4u79wBG08mQ1EZX6DmS8fw47RT
I4VmZKu8WmEc/UrhOKFbXOFPGDbTA8S38dyhQ3BLS9/YC6X5y+uduaAaKJ9xKdB8XY2cI/2ZTLPp
tzPib4Wh9p4+xnu9sq2lpAdKlkiUhe3Xav8jvzilsW0Z/jCPmCWGSs7NlmhvCNV++fuPxs0GpcEG
LkUE+XE+uGXgEaPlvMwOfs9pGpc/gNxqD7EATnF9qK2LhFoxhtJLsEoj8ONQUoHCYFWxP/LR0m5D
Q6pfzTxX72OS7nt1RG7dMpud2GprIR2yK+ozHA6uwI9jhgmiawlupL6lhZ11lAjCci82+uqIvkqy
kxxsD0ZeABqboFVdHUa9ceoc+x7Dj3Ez52YoF/1yJTkj8aTvHIDLoUhbZQJGCHmEx9pqG05xbKR6
z6XsqNl8VzcTctWBMb9Uc7RXy12W6OOOXzJkDVMKCrqEGquh0HtIuVRVwzfg2cOO5pHPET08Xd8c
5uWRVpZrDIzuAjy7KN45fRREapdo/hAatXMz0rVQn4yuHKI7jJ+LDFs+p7tb9tWvApsK1It5VhEL
a9NXLAzlV0cHV+g1eVIjW6UkKm1z5NosZF/xUsNroRVKc0gCYX8dLRPuuRKpxe8ZbsNLX4HPPwWl
qVOhHIPg3czgMrqSEYVfYIqV+b2NGprtJh21RxeShaR4dh+Y71mXGtpNjEjgu2WgtYBKtmT8i1Ov
9t5g3PcZX1X7p0Bdt/RIYfsJXrpaYXxYW+1N5FSd9QrXjBJXOs91/9yOWVLcpTg0PM2FMaSnoK/m
XzgoNvk5KBHvP0wDkCDkNGv1dYAdDwapBuXrgewqlBM1OZxf9KwYNDdEJuA9S4OoP5ZTIlAKIWB+
SCvJxEQvr4V8iw8jmoCKnMtuZy1y6pmpdebOM76RLNN45wm3loSRCsfqQMRClnFNSDWfKBiHRmSu
nPCnXEe8hhhUK/pDX2kDOIo0wdAyMp0MPU7VGh55spS32a6cZidi+i8kXm1mgDOkkQqbWbHW6WQv
+gG1SJnGRB692LgxI/ORIEiGnvXYPNiTJY74OyN9kdC6KiXdOUR6lCA5pGn0mCTEg6gqv17f+sqy
DOsfRaEcZha5BA3Y1R085yWyklmp+no2dSmyIbZU3McFehzsNid8s2YwLOexiFFkaRE+T7zckWfp
Fm6OyG7zKh+Tkx7neFTu/LDlRl7/MJrKBPqAvClVrn4Y7S9wplOJXFVUlj2qZEGVHLNpqJ2HyZG7
H7PkpJPbt6ldesg5yvgB0MjCa0XHR+yrmotRPktoPWkHDafcClkIIX7Qnp8+V7HS/7r+azfuKRVc
j72gqok+1tmQgbknlqiNRrM8l19SHEtHb9IQctxZFedyUSjAgywG+sto5uoZ6zuIWHYka748FM63
rA8xcADE+VkjVEXbBruaHInnAQGisc0QPaqxUlB2gAGXTymvC6h/xEcoH4IV5Df+kYdJcL+RCaq5
k/mXFz6pjVpsriI3gmJ8iLTt5JwzYJE7qcDWEvMQ0NUBHK+Af/44bFyh4tSKmeLX3KtY8ObJLYmD
unNIN942VdeAA2CwpdHHXi1wkMHkh5Oi+3QBsIlHNcV575wqfNJBSCenv941JBqEkhSk4Z6tryii
+n4sEMX2yyo3/AlDkKdZJOFO3Xtj4UgeLWq89F4BO6ymVA92kaCgq/mEleFtICNxA5mr/nR9Lstf
WR1XkBug9VSHUi8ZwcfPU8zCCrShHvwiDgLntzOoZnqAV6CjftlyAB8KetY7Y27sRB0uA0RjgoPL
fngxm6NtldC/lFprvw/ygk5BbsS1kNk5VGgH3k8lTn7XJ6otM1nNFKMCg+IH/BMKdssZ/WP/txq2
1fGo9X6fYmnykKs1WDmk+emdAGdqHlkenKywGhWLgGxIjxvFL+MYGm1ULSLxcHOGKsI5JM7zRDmE
KCqGn0fYxV+GeKbPtQA1HqysLvAtSKNKeY1CQh4XMP7iuZxy4f7QMFdJv1U8VT8kESnlOeXCaAFy
qbF1GrIUodic6Dp8zuw+N92o3Cdnbq09ewpcJuUfmS//cRWsyNEsvRbCTxJtegkwdMEoBGFB4CxC
PY3Ur7FGUerh+frqb2yzpTUHWp/+HLzb5fz+sfhRUSPgpoNfVyBRPWYh6ufoAlkelFf7ictK7Fy4
y62y/tjUKOlFkuAuJNGP41EC6wigAZJjq2o8DYXSviPcFXmoJiA82oj5HaBN7aH+VOzss41jS27J
HWSQOrDSq21mVGpbBQ090E5vkUFDZOzGCI3x5vp6KhsLygicouV2QDNsFWHXs50MdWXCUYs7JEuE
Ecjt2UwU1TerwQzZsGU6u5gVSdIhQ4ZovjNa9sRLhwlp6uKoHIhfTYhBwImLrkfcTG1UcD+lNHxR
saPWd37vxrbjtqSvtnCXLglF2IvgXdwkNPGQe6A9bFaPU5Yhvt8LLe3cuAkyvxxF5hyur9PWuFzR
4AmAPKvqGlRSJRrCMYj8+1JpVeesE/GT3pR4Avep8plnskWQtYm/Xh9049v8Vxun8rfQI9f9/b4f
UVRf+IOaPVcoJMq4O9m9fRy78muAx5R/fbiNHYfPH81Z3leZrvTqSDdFKus91pV+23ZIf1i9gw2D
XmV78Iyt0Jwe7BJtQjJwuCg+HqrZqGkHYmLpG2Ch58MQavGPggrTIu1bTNgiR43uK+j39kA10vhF
Rm9dven12sD4XNWnH9fnvfFtLUIajc9E8Ab48OPPGYNCQk9Wbv0Yi03svLPYeqrYxzeiU8u7FJkx
9ahkUfn3hZYlUuRYaMu3vej3zGkqx7QkYBT2CIEHAe6JWRq2556w4Hh9ihtxI9LL1D/IbSm0rFOP
yZnIVeOq9cs5UjwjNBW3bmTHk5NYnEatCm6UQBanmLN0ijDTe70+/EapUGFT0U3iLqVGsQZ0JDPY
9lithI90xhwcVKtDkqjApuAxRqwalrqFEBZIJXb7UYsznSprooRvcoTy786NvhHhWcSQRLDwBUEj
rO7VkSwbqUeYO2PaTQcTjI7p6tLYNYe2L5u9HvvGEeYGh8HAuQKKtn4myXeBbokWbtdQgtgTUXcm
zepcBw+dAxL5xU7auzU7iwuSYgZfm0j5416OcGarNCcRPkLNkLbrRsNLaCym8BueHK36+fp33Xgd
acqSnvFQsbXWo9HQr1BRbARssk54naQgym8opd8linSyRhSCR8UynmrUoHbuY0NlIh8fZsotS9jM
NJce7eozAm9JgjKDQATDL+Wo9oTqGD10+exSxpBpgUEd+TRn9vDiJBFGiqVuT2+If0vDAQxfQJXd
tgPzGM6zbaMEXclYRtnBgIDeIFpMHuZ6jN0JDwXlgBpU1RzbIUO8rg0By9zYaTkuKuoziqChFii/
cwfvGTQdw8lyraCyXpSqlTJ3RsvsU9Apxu/UUqToZIx0DXyNmslrGQYoAfdN0QH0aLsXZ0CA4uRA
1EAGUBiSxsebMKfsrcHpUf0zU8C8mJEdDFiJqOtEwfC7jBC48yHtCcvD98UoDg1ak4GnmDFOca6R
I7rshXVkGjvb7PLDc5TBclIuU8jJ1ggXM5kg+iHF5qOdXekvixCD8xt7rS66QR8dNEmUN3BNEu7b
wCVkU/egb9s/gLiIsoWsXED86jDC0s2SeI9NXSTPcwu2BpXitn4IieZu6BklnwB3tJ8nGKX/XN/1
l2eaeGlpeRB/cKmte3JxS69tTrUZzWXeBNlCZ1TGSM4dEFE5TQNh0fXxLs80AQdBIEtNuoPazMcz
naVWVOP2A89Ab4tjjIL50Wjkf0XfDd71kS5fwo8jLYfuj+h6VNUixrVC9gVG6EcxOh0GTD0i+LyJ
JzXCAsgYp/rm+qCXYQeDcopthXieUtQqAhXJBB89YnpqQBF1iDX7th/TZie4oUV8eWMQRf9Xs6Z/
e3HxF/k0COonS9c8KYavWo/c7XenLlPtR2VBqriT9UgdbmCbYaYu4gZ98QCda2TiMzQWj3qrOrVP
qJJSkgK8lriVOYn5gBmviuVvmc+Gqymiqt0MY7BFQK+qkrvEySiKh2ZadejvgK09cNF0td9WetY/
ElvMKvr/dv+r0gOYsVFcC7Sno2CWkP9XsMes09HqD3XUcrcqrSJQ/s4CPIZD3Ox6WDST1j1KkUUU
Cqg7Gl+BBElfzDhBGzPMwi68M3obUzlM5sPfgWml1kGvUKs91F1M51E3o9adB5QHvRnz6+SGun/1
iY52nB2X6tKMbEtsftbplUTIjojivSRIPOlGoDzZgN8fG378nTo4OJeGUSjjVolJWHuYZ0oR6HEn
SX0Podmg8Izm+1dFKHbqRXiQjUxPqJ8GoczJP+2MPZ1LZVxQaQ+IBXge86b6bied3fwUWUlRFMkv
J7ozUA6cPs2ylHwV0xQFh7puh/KE5Klz06uFJt4xxYlfEA7N0xvTRB36bGPcVT7KJUfmvaAm0DBf
qQqxZTRbkFxiVl/Q8kfLqx26JDtWY9WVj0kNNc2TR8OOf6gt5dHb1m54WiQWRvOUvFFRNTSK3jkj
/B/EPocX9ZAZuw1Y5JVAfD5tlOkWi1jb9ooICt7nTADLAhddYCJh4/kRfDOrxLwVQsXHi+I45X2N
cu8/ktG0PSVxJR1fs7lSnYMN+0X7HMSJXh1hPeSpZ6HfbH8dQgCE93MNivCriQZ3+SNMU0lxVasR
Z61Bf41yv2yNrp6gEnoviSAc3HHsiK5mWtb6XTPHenIO87Ihn2pBkruIAksKTtiTGeO5PdftCcFE
Xr3MbugByImhVW99G1vDW2tIrepmtar+CGstau/KuMD7I2wjBI1G7l/5POEWOuImsoRzjtDKz4Zh
ck1CvrTkE5YUMoKOJgK9Yw7I98CHKJqDoBIfI0BrKnpyFA0+6aDx5uxWLvE+9ubKUL9jrRegqouB
HmjZTExP2GjhrWeHmFI5yDZr/Ks5PpR5OtVIaxZR56UALH4GQWNSG0rzpLorbGf85bRWzBs1VHx2
ClUjluiRZUi+JaAquBkerTEuo8Q4xwxfCNMlg8COj6dZzby2t4WCobat/WwMcBBHOj90+PEPRXMp
j0SbH0K1keNDMUpxflbyTsmBqwXI9ceVk3wtMS++M/FzoyluB9mTbAjTONoJWPVbeD39dFs5Stye
rNkKfO7gdPhMJhE/4DUilzfZYIrGw7abg2VFE83FMZry8F5WxKCds0weXjKUl94hv+Oqq2cIkHqz
YXbRYRj6EPOcSkpQfTSbLvWCFpHQG/wG5oepses7Vo1Fp4NNK6umBZW7ky0XynFOHEweAaOY3ddR
Fo31C7pHhwVt22H3xbsQYFbdqLy9k1EspnlAQqBx8WT9KnD3UN5HVe6/jrEoHpVMVb4Y0GTCmzjK
Yn8Y21w5TCXWZuAW66a54U9ofm+TebllY9CyQShoL3jd6MdQq1w6mEt+7VyUX+20MuIki20/EHFY
E81F9knPVf2HjoDcS6pP2vfKMLKHptKahzgO7VMbqubgWo0RfQ/7YgyOOIKiUY/NgLKTk27EGEgG
ITAA6V+9bPVLZqzaYydBVQ+C2mPbV6fRcca7Qm6mO7kvjL9/+REA5OBR/QYjrS6/54+XX4QY2omK
tUjIC58afDRGl1csOwfs5cgtYtN5ncqg+/rXbz/4UYWE1KCWeNGWx2MIidx0snwHUYoDSWp/H9C3
O10f5TL7ZQkp3oF7p86lrFsHHeBk4QSK5UuZ5mQuSWGAnXQyaJ8KfOa/NnVU3OlG1d/jKTg8z81c
v1//ARsRHAJXJgUPFW6Iti7Bo+GXqKJhdTGPEYdWA4dYhUBkR9yxzteH2to4GhhEQuMlv12DDmQo
qfLYqcyV4pgbYNhNSsajgMy880mBArWXiF1GVUsB3qR4iADBRfSmJm2LbYFm+Yoa/dBDs76dM8d8
zoJZ3pnZRpzocFRp5YJOoTq1pAR/bFFa5GrKdQL2LoxIjrJB+WT0w/R8ff0uQ2DkIuhf4NUJrQpl
mI+jBJOp1r0y2r7RSvJdkoQSPqORxSKK6kxHoPQGld1zfdDL/QFdfMHIL8SIhZrxcVBzxvg87Sno
qbgmIciIqQMNZANQeq8c/z9D0bNlh9DDW58FTDvqQB4aylwTbvVoQWpupBvTTZ4E0c6xu/xglJyA
KtET5WxfAG8x9YojAjvbryMA9gsg/YGot96pQVxueEahFYA8DWA9qiwf127OANckg2753OSBfAS0
GWauFhoWdlAShuuIWaLW/feL6IDAp1pKNZpX5OOYctJyGrBwQ9BUXWIqToHi8RBLninqYSfXvry9
gC2b6IsiD4Rs5Lol2bZtJHDRMfxusSxwkYMJo/OAQTvQ1wE482EcNRt/cSI73HVBAR7o+I3Nzjn/
r6CyKrj8h5DhvWSf0m77OOfcskrEvGzTH2o7lDysnIxP9GkN3aM34bxCSEh+Qwk0cGcEOV65C2mj
8dpmKEycPoAqurQTrOqEBqxU3phBPyiHvgqT9NTbHSYPGDo39iF0zKp5HHKhdiQUU1i8hBIUjodp
npFngV+4mG9RUcXtAFWcwQOeYPv93Ey0gJJUewfM0qk7t/flPqbOgdoWV44Dg2UNu6vLfp7QwbJ8
URfJOcLN826Wi25ngS8/M8oj0Ouoq0BavFhfx4n7ypG4SEv0n5+7qUm/YctZVq6mCkXDTtOKbosc
TwRXberyBp+4+u36rv5PzuvjJ9bAp3CZ0wGnoLCGXMhtnDQBqn6+NliFegB3YhYvQ1o13Z1dUCL1
gFY7uZeRIr322Jm22EbJ2EPD3I/FtwhN2eEgJCypzhDa8AuT0W+t7+pksLTjJA2YFCn4Se7Roi8/
D9+ExjN1yKUPvD4f2WxJFZtGp2ihzMc4UXKcxDDQuL44G1f0spsRfaLuxbFffsUfr8+A46fTxI7h
F4vjskhpErhVzA6f60zd0y1aztLqQ2ho9HFrUjZeaAUfB0vwXxGhDDFCIif2Omec/unnwUowW4mm
R50gtfa6yJLvY03sylpsrKfGDGnMyFRLWNKPg2tyH2qpCc6+tijbhZOZemIy9h6HDfIy2E4k0+DL
IvgAuv3jMGiitFZTd7aPWq14gI/H9CYM059aVUKTjrxkkiisyUKtydI5FLBfUrKCtJC0AaK/HCqY
25vzD0hcANuovIackjJRSheBBZHjozMX2IdQ08+Odpo0t5UA2u1hmho/1PTSASKnXfPN7Ik48JaK
7K4/WLz+8hEynvNuKwK1LbxxtU9OTpZP+qdKpYd+D07c2lygdItphPPXd80ihb8UNAGgUxJb37J9
HvA/JrZvd212xLxaO2vAcP7+/UL8kR4IDwvVU3UV5JSOHJjhSHYRw8v3RmGlOA0U+CrV097rtbWb
YDQhKib/p++xKl72asYriqsl8WErH6iBG4eIYH2nurd1Ov8cZTUhCnpJrespy6bGM6idKj+FY9C/
JhgK7Qy1ESAShSKrscCwiTxWXygY4qxKw8j2O1kZsF6eMJjk7sblktrQvVPTrIcqb+1EiBtRDgwm
juMCcbfVNYkpmAX2YwrFSz3ChMbI5uEkD3hF0lAYjw1OSo/Xr7utz0Zbx8JGjP11AQvM5Wbs9WGw
/JS1/DTjru0BPrN3QputtVxacNyshG7s4493gJOBGIp7BNmoQDrfSgy+HSw7qavgeXZbtYPkYyDV
7+mKb2wWKHb6QrUjKL14MGxKfFlDJOFnI1YfcSWFPiZveMU5kb0TbW98Nm5vGnEkudDP1tkEtzs4
vUJ2UJuKCnLO1FDfJU0aP9HlyR6gVOY74LyNTisgOSSAwe3zctD0/bikI+YOIT6EgU/1N3xAX8v6
BVBSe6M+5byO4B8PRSq4EOfUOaRqbj7VSRmMO5H/ZSwD+AdJbpQ+TEAT6/eLYLZEEa4Mb0uT0jqe
78lwNyfTiE4JGgVfIwIqB8+qKI08Ry1CgnSlqOKdS25j7Rf1G3ykiN5Qu1ythBXlUKkBYftCkefJ
dWQpn0CBStPvYg64UiMzKndu7413m5KNiu4XgAJkv1b7WTcQEI1GR8JDZ479EfzGY4lXntfHU3OO
o3p0Cyea3Z6M4uavzyu89gWVCf1Fu/jsQ5gblTNTvDQsYT0OJj5qTuFkO+f1v8ttFZgg1IZgEtnq
EiWuHu0EImk4O7WE48EoKzito0jVK7h9uukAxsAFzi3/K0tW+pjAi8bUypnizzJmoz9UZTbm1zxK
k8A1CQ4jsiZjHj+VcV7mLhBzpGUrpTYVz5F6gTNLKMXKSQjFCvBrSmT8g7rQodCJufx87CGz3rdw
K9Er6TJlgOCU4Q8WmZONmfoUD+l9n9FncHtw68a5CkPlFSaDM5wV0NX0NsJee26HNnhDpyd+Fk2R
qYcUa+72SCslEjcTPNinGf0rDJaGxQFckLuDVJ9qHdvZdHEY7mN9fDFT+PteigTfiG16p3zGccLE
rszIs+e+iHLzgGtq8doTreHwaFdEGiKQcKwyYmClXjPmDXDMWljtIe+dKvcENnSmK0IFtzmD/tAz
z0wPuh/Jlc6NurGml1OOxZNRRjg24cWAebhdZKP6WCRIDgEZ1zBMTVJ7ui1IRn/nhlB/dyEA72pi
jY9D2OXfEaVMHXeknN16Mo3rn3CNtdcmj/OftDSDb10TNu92hvfCbdIl8xe4VZji2Uy1QXqjs++h
0kLkSiwpO2EXRs4XUB/CFhNRqQxqW2LrX3LJMqOdt3fj5l6ibwBYNJ4XGvjHy23q7FZTuk6Cbx6/
TaNq0h1oFPuo60W88wBuDYWONCIZxOFESauIosbgmJ9BoCIXxfiE/Er5WOCydRvj77rzSGy8tQuk
UaX4Azng4q2lwZcEmMjZvqBjck4x+fw0JRhmXb8hNq5De2FDGAvKj0x2tXYmxlIY11u2j2OJ9A8f
sL6LYkeOYapoNilTaZf94fqQWxMDhwLyB1SVTPCy+lxJGyY0+EjQJ2Q3JKvvHzIV7ur1Uba+FLEf
60Z5cKlqfRzFjgaljsGL+0OrzIe0z8eD3g3vwMnSne23OR9uWDjrCydXW569P3JA3ZQy04yYj4Ud
9Rn/SQxOq2CvH749n/8dRV/NR4IIWmQFQDSKnZmXon5xQ+Mo9gQc2PP1pduaEO8VZf9F7AaZg48T
wt/eTjHzo46l4FLfUu761UpW8vOvR+H9XezwFnLaRf0E/2M7k5rI8cO2z49aV04npSyLvz9FcAhl
HiUwdYSUq2VLkH/IMblzcAWIbYUMbQicM67Sg9hZtI3vQ8ZEkWmRLF3kKD4umpDnIM/bhp5F1XWv
6ZAAFFA11NPootfhThCzNZjOTgNfBabrgo+gBj3lF0FiAxkjOMCyB4Xb9qOLq9ieJ9xG8OIABcYf
jRaFRab7cV6hWRC5qPRiMsofkoe/J/3xILUTzZ1KqRIAAnr7ZxHhhqeQdz9d3yQb1xMKyXw6UhxC
p/VdEWkoWOUzdXfMq3NXmiQcQYeo0mHZVtMruibhzmfcmi5oRGi4tIT472rvzxm11gRwho8gRPoO
7hfD274N5gPtvuyTlIHBhJEhf2r7Bn2865Pd+qrQJGiQIjRFxX89NupkcbdkV8B751th9gahjtFY
D8A/dHXnftw45NC7NLxOyAjQ1FoN1nKBBLNVWqDyQvPYaE7+yc7VbGeUyymhSkHXhAbGUiNdL2ev
dZgrtm3gO8AdziAbWrdro/LzaO36f2xw1lA0Rn/MgKXjUBhfzQiAqUKXOgr8oqbQcyBLn6LDUjaK
KWNo9hdSimbwMI41h0Mr8nb0yhzXc1ev9AJbXF0nPjxaY2vuwWwv99TywygSw8WAs7YWAZFRGDLb
Il7ikzkMT9Q9058IjOonHIiVCpm9VuieOoVN7GYltqjH69tqc/gFSEVngst2fYZGu8RwQ1YCP+46
I/cwzJ565I1Af7pS2JZ3/SBrb+Ais/goBpTN/jrC0GXCPAojaHZzXa0ukLLBFBOvjQBhcFg/uuQ4
h0Ku+mMRONpzHqZ7rbqNXJcHhbzaRj2GfHedbjVNXdNZLQNf1vBP73UBoxS1A/Nm6vA67RQhHw0l
wQWksodH/Iuxl9SH6vn6om9tfBIuECQUTK2L/hNOC33bOo3kR+OgeZMzQp7NRHFUC8vYOWOXJ3l5
QCmZcmcsVPbVAltpa4blUEq+OmJRoSfk05aaa/+PXUSPGp00Hp5FqvzjO2DNoquKwl5WNZlOspJh
4yiK5DimSEl1WKccsnTQDrGFiOP1pVz+8sfskvcbl4hFTBPE1LrIFXUQ84JZD3x0f02vNjX9Iezq
wrNlqfgs0YHYe1031LJ1mN/LWWXMy24vzm86Rl/C8WfgIUvelqfqdxTCwvrZ6GczPxV5V7xZQmhf
2r7QM8/C0d7yisCOS/ypy+Z3D3XvSStbqjvXF2PrlgMPCah60bUAyb2c9j+iTSO150xuKiAZmZHm
p35I0xfZTFTEWlHnexsmWalO0MeL77LkhLqLNH7xpMWW2hyGzkpmr5YqJd3ZgpeVHSCohCOcOmOp
M61+VJsuaiiNZflJLD9PXX5fIkN+EzutcTuFSnYkPPiFx/Z8CLM6++f6ilxWC1kH/kMOg2DEhR+g
WaiRZuZUC0PFfOiK9JBGjQcQKfuUlRGwN9Q2z9dH3DjboIPwveXZtOmGaB8/QRj2qaTVteM7QQQA
3JH7Y5Qp8q9Kmf4e3UBll6CS5wxVY16Qj0N11QTfi86pH1u56mlS0x2gfImdz7c5IZgmS6cR3a11
4JHGGkEqJRgfmB5mpiR+ZBhQDV/mQSPZ+PvVM6C582foFBKWf5wSGlSqHoyk0KEJqBDsaXFAEsfA
5znYywGXbbe6OQBjc2Hx7tHAXLdN5BLWui11jp8bRhefRQ+FzA1GrDFcTKfG0pPNGCS62tvhi4zl
495h3bi5GJ8wi5yAf6wBPtQ+bEIs7hHZluaDDTHgOGuiPpRWn3mQ1vb0vTdeAoDgTNiiYQudZXVH
wz9VlWlJ5rvWGB5IhnRU9eO9nufWrCi2QNIiIOeBW703Uy/RByAx8cPJMeNbI1TKlzzWuIblygq6
I2JDf4915xa2aeYiSbCBrBiwlGzVkCzOGrR/Vblt7qt8Dh6oxGV71M6ts4C+LIowFF4wNFmt4STl
nTOwR/2xkgfkXdE7bqhJejLixjvV2Y2h6A6i2k17f9EFXQ0lzyBgtMnU/MgCRX+cBzoflMwM6XcV
tWl+vH7utl4OSrPQrJaLC3WN1XBprczDjHKRD7Kz/j3kGmJg4I7l1E0ycuSbaS7L8Vlrhhm1/bBB
IKZ3YE8f0lRtqMK2sFmPo1zJ2c77vrFrbYAxlKDYS1RrVnccAih1modQ+DNdat5mOXwbjUJ6vj77
jUGcJa0jfUOc6qJTJkeBpuDXbPpKpYaeQqXQlybQ/ddHuTwaS0ELNA44dt7ndejZBrXS6QtwsbPL
6kkyO2fCsys2Ab/MyY94CvWdy/TyhmPARUOVQoqB9sX/cHZePXIibRv+RUjkcAodpnvG47xr+wQ5
vaQiQxF+/XcxJ5+HRo28B6u1vCtVA1VPPeEOq7OYoXTptBp6e/D4wvedbeanMfGqjyXQIH+eYvkF
rlEReKnV7jT9Nx91ufDp4QHNXofxVgs7I1WlA8h9nM6gxiqGSYYd6BBumUQaf6+KgHq7xZCTe4NB
+E3UyTybCX8NLDeU47kcQ+2hkYPz11c7cj9LM0pHkJgccLUXex2hTXpEzgXyMjwv1Yieimb+4emy
/Pv3h2opjaJl1zNxX12DptPLTB9AZKKarT/rvQcsumvRnW0U7TSribXTpbxNk5g0QqRBN4+JMYq7
r6/dxpFpbMO8AkKA+HlqJ81xRGkikEo4XpXUnAKEe/7WtdwEN7Swsm1uI67h9cQPYIanz23FTLXx
7ENSYg/ChqqOiwL85/tH7/aAg1oEvrBM2DzqlFUXFrBPz/pj+DDaSfxetkNzcStt2LPVuo3ZyzJc
sSiu8RLXrODJ6NC4hNv3ULqmUgWKppUHKIl48Kp6tjcC2FyMvhcQ2uWErzWSkUg2CY15+DCptji3
fYUfk12HD7FW7yG9X+aer3IlZCsZ65OT0Cy3buhrGmZnbm438VWZXHCZMfIczlHtM2SQmsnsfk55
NYyHEuV121cbgRZRb3XF92L20uIYOVaBgv841v8WVpn/HgqaTqd+7qeSToMof8SsC1esHuowMK3e
EUE61+CdR8NVnLdGxDfT/SjCr9YXc2o6CB0lvQjKokRhN9dRRzvMfRaFBy7T6V+jDuvfw5Sl4AkB
dvUoSAHoILJPaBsvjNaAWO9gl5hNbLaidzoZVENYv7WUmRZXPkcxXpWzkf87FwMiWXNTyP/NadQ8
gCuytENceBpO7UMvIHyoc/ZhnF1oMH+5YZcXvpjoMJml07iumWAg5kWIA9I1HNvowKinuBQ6AIf7
q9xsIUC2nEDOIBUXYNFVmFFjBYmCblQuLZiwz6ZaGQcxa/1zHHKn31/q5gS+LPWiFsFKN3BlN0YG
wrJAZzhNmxwN2eiPc5HvgQg2V+EeoJ+0tAXWOf0s+t5G34Nm2iC8MyqSyrGAv7bzLDe3G3ItyJcs
Op8QLW663tXsNal0rfDCcFE/hk4nAk3Rky+h16dXsxmTPW+Dje9Elxvd3AX4xoW+ungYhbX2jEfx
FWNvJGtb1TmHYPH8OJZ7VdEtoJOHw2qeKQVTzEX7/vVVUGqTXgPLVC5zHNafqSyN7rA00560Lp2l
T3NDykMiejFAdZwHjkpsd1csA6MPqZ6OH/RiVD+OltHFONKNSu+XpZ66Rw5u8YPRc7M3+tr45EQl
dFaWeMvnWL0bbbbTsYPKdnHyIn2vNn3yDXKluiMbZGx9ApZg2sEYFHjO6obUokwRte1BrHKVhCF8
HA0ed7JBiTE1cOUeMjm6s9+GCRKtE65XykPE0B6PcK1zv+eJZ8TvjSJSJIrv0vqCExCMqRipKOMh
K7Jm8pk/ds5xUAmejxLFniywYquJ32vhmFmIxeR2ioys3llnJUmUNoB1kH0vRlNOQSst8IooYxZE
OBQGjaPl9HV9ig0rLGl1q2AtwBnN/6MLXMN9C0N9zyF66yuQaur8Q12E0vTrXaNYqWbhXkAfNzVj
gm09XY2whlB6P4psfYUFVo16EGLnN1FEtvpgFX0RXmpTKX72lhG/qTQxmr6NgP1fY744CQDMlqsV
LU5vXRJpEpEP2vPhRaQyg3Y4676li/wJJJ083n+um0x9WQoqDJ0qeoY3U2+E1PvQCJlOTMloBoON
7kOeCfc4qbN8amlsnZUCK516tO3f91e+ac6x8iJAR3ChgXvTH5YxYpWKO3iX2gOi6FdTZj0kOW0B
tBvrQHGRZNRtAbwut+YjKPxyJ/Pc2jigJSjcEYUi5Kw2zqDNKtdp612sIoyvQ2zPAWoA+en+U269
XxAMKk1bpAdgyL3enuhlztIKFe9iOg0Sd/jRyLOwYvF14fI9KMrwvRmcNgCU99cdA94vE6flOmLK
QW74emWlBLyF03Z4sYbZOFeNoZ5HUE6gi6vibzsG5O+cZU4GszR6L8ur/qP525oShb9lv4Zukz0V
ulo8FnXvnJpK7lWWG1+NrQoiZBEzvm3TTUuLDs2V6IqiePtPbUQL4zOXO/J9G18NWtVSlzBeplZY
vTu7hM0xmgjQGdLN/hfpcjgXEobtsWoG79us5QZxzSric55V4c6O2XrChajzAtddJkWvX6aTKa7b
MQW7VmVvneHfG8NBNWFcHe7vzOUZXmfWAJ3pBVCgM5OiV/16Ha+bs4KxQXSdYfcdwZk/zLk8ekk3
PuBpsuervfFGF6oaNFFaHezm1RudjCkx9ThKrrFR1UchHO9U9ZONqY6dfjZqvb7obt586eAI7WzO
mwpz4SHBUOH4EeYY+r1+zjErPUQom+QqbDB+oyatcydE9gnGrPEo5uZ/8OPDnYbLS4RevVzAnAhw
YVLBYGodwafcBmboCHGFmlCFR3rLChJCbhm1vjO4/Xjs2jJPT12SlsZDOGqtvOYg2oCtyTj6V+Dn
O/oTKnE/YfLrli/NpKiOtP1xDtG93vJFW7adb0i2qd+aSnTWlNE2/MZrLJcwZqlvx9jQxLWRdldd
27gJO790OkzTE9Qvf7n5BJdA8ZKLrPpG96vSS57B1kZfbHx3v4SROvwviVRsuqIarJcfd57+E7yF
+FpgVhAdbcSA4mfLwo+3yyzzAwPa+dlhw0LWn1V7CtBarj/d36+b35FzT30LYvWmv1t7hdYPAs0C
euTMvfJZ6zQ/173B8ts8quzzMGHeFoxwgo2dI7lxVVFUszC+qfQoXtghf8Q39FoSpMzz+Jo6vejO
QmYROMY2Mq0PZdY2b9jwww8FvPRb0uJef0LblbnW/ce/7ZOyj1/21JKPE5xW91WiGaIfjCS5TmnW
Ze+FxbUNnpGJPUQSwpLfo6g6BwruyT9gqI/vRvyK1AMc3zYOtNqRH2dppMpORXI71uZnoW4I7h7p
Pygyq3Blj0MYtR2hsizaVh5ZqK0CWVcwW0aGkJrv5VpinTVNVl3QTrUlfKu1zcJ3hantVJVb3wlI
MYJSBpOcG6SK2QOYoB0QXXVYeIdlzHlMqyl8FgKMVZjb+LMqRXFIRgiHGUPjn/c/0fKo60MPYJG5
H3qPtwVMOMlyaLw8uhZmU/uuMllPIUn1zjnYyEQRGMfIBJQam3I9V59cKkCIVqwSUWkCe0IThVVO
Qz3vhc7tpZbhKaNd0Nqr5IUytHVCL+OKyHTv2PWj+d5IteGAhkW9k4duL0WznceCg7uun6uoJ4tJ
o+ia5kOHs5VqHvJinv1e9ntT4c0tSzmL4xYWmAvY6PWN0AwiLkrsDy+iyOxHdGeKoxIa1idDKdrn
MSlRCFMLEagohJ66UYPpZYTin/t7ZfM4g/hfKJQLI3Bd7dY4iyWxRiLTa5PzlTFnQg5cN9XbVhUp
SiZYxubnMTNjMN0Z4e0NfhrlfCgjY/hampri+bpdGHuG1FtBlh28GFPgtHQDT1WzfHaIItGVu03+
QIp9BMouIvWzE3btI5KaMGr1ASO4+2/jpT+5OjqIRlGJkI/jRW4arz8JnpOSCaKSXJm6oEFfY5zy
owSX/r0cJ/Vroff1Bzk5ovigp7JEuaRWe9WH7ZeiryMailKv65wPKOCkn2dkdIWfO7PyHW9AWQTF
3GufjMqbYj8p6lr6qjEoZoCKjdYfXDue6CooVXOSpanD+fa4WOuhamHj9anzEU8EYV0NuH9YTcUN
vrXxHLffGF8U4jHH9PAXlr+Syl841RFHuBeoOjI3AQpAMbD1SaQf0qmufylpUg5BCQ8AgDx6J2gj
5XFqHLOiDFsi41R+b12t1HwE7Gt02VIjf0dpqJRfWtcqHwGItsbHaB6zY262c/tYt2P6s46F9TuJ
4uHXzge5DWWvvsfqiFTR5E6Zwe4crOy7LhPnODVOHRRmNj/89UqQ7oGsw+JkwLmOMf1E4TSQB10n
E9CbJfHtKgbpHIpktN7dX2r50atNtsw1Fq9MxkPOukwp2hoBZqVLrrL0ysduRhnBLpvycH+VjUiG
+ie1EHMvBKzXF6IDCBbLgTG90hLv/zXDLHkuvDA5Fbjn7KSZt9qkACVJMkG2ACbgT6sATXcWPV8r
Sq+D4tXf20Gdv00wC/9R0X752Ffd8HZoqvy7VsukekjUeMBnaTD66jiYbvjt/nNvhA7uXd4sZT3S
GuvJUWyBMJY1+QnYt+bZ7WY0iLBmOTHxdY5WmepfPEvYO590o4hxXdoxRA0QqjeCHo0nlKIutfha
o7V1hIwAuQMB5Oeob7oAD5Po8394yGUQR5tygyuGMFc/RzzlNU0SekyLWvnHSCsc/iiS8CvT/3H2
TbpQxk6E3Nq7LvKVzEAAjdwgboiFSDsxs73GlLuJbxTujB117H64/3y3GDN2FPXKgku3MJ9Z38MT
vuSdo0/xtYlDKMoABOUn1RSIdnehiexZFYl3ChzMn3URjpdWVgKptRZ31uOQD3XQdWqqnepZ1jsf
eutULdxEiAxs9ps5YaRDlWj6mOxf17LnQXGG8xC63lM2Z3uztI1XvQjuUSyShyzdqdd3kYilXZRV
HV/1WKrfnEY3Tt0MC/L+m944Lh4Cs/AYCBZ4hq2OLibWtTd7ZnStdS6c0ZgPSR8Gk5pOQZhBuepR
sPj7yAScg2uWlh8t9nWoHcYC1c0OK9PCEuJg2pF6tjUG8jZCLjtRfeNcgq1FeB7PBVZcNxcQE0sV
VQzJtZpa5VGmbv88J6kyBYKsvzsVSqn3Oydko8NAUbgIFC/oH4bKrz9bBaJXizROiGqI5k1N5v2x
ddzpEVlR9Roncf9o2a2rMOFLlf54/2Nu7M7l0DDPWo7OzXxe6rPt5KpNG7Ey8rPpJF9lrZTv9Lr+
fX+hrb2JqwTcFNDrQAFWe3PKQBnJ5XiWaA2/BS70XQVusFNGbS1C0g9aGXEPuoirNxniimjMNCKu
WovPzoiCaHyMDbPZo4FuHQEugwUAAwrtZpMollYkccfD9J38WNOGPjO7dk5mJ5IGIqNaBUkDt3pn
n2x9K2pVkGLMHW9x2HaBEgtOfUQSxQzfNdWQB66GL4xdTnsmzi/RcpVxLPx3WnnQsAisq5odxobR
RnYlrpB4x/Ck922dvkUmv/9fY1ooP0IfQaFt7CLzYNBvdHxmGN27CrUJwLNz/DVNJWqSThJW31ug
Qj/VKOo/FqJDczEvrKr2B69y9pLx289vMZdZsgnkioFl6K8PEkfIbKd8EtfKcLEi6kPtiNZwtdM4
2FplmZupS4fsdm7jej3JrhPRIRuK5JCii3Kc6qz664PJNjbo2vCpIXLfBIU+HuOuq5FknG1xYsOL
c9No1SVrYFv87dFkWAOdZBkCM7S5KegaN9XbYUivjgKWvhJtdWzKfE9A6vbMwJ2iA8Rx0Wi2r6eB
+dT1edSl6VXt0H/19a6euwB9DOdt2DGZ9fVq1JqjBHKyB8V4qcFeb2YmUqQFy5wIkuR6FmxTTKEs
meRX8EHGkoi0uhtIvW/GQ4UtSOyn2mx6A0VWVLZn+rG27SvqqH6vhN5/LpAHlYch7aFUcpvaDJtk
m/+s807DRKqO0DSMwQRET16ZxIBfgYn/pg05vrXQT7UDSBHmW9OLkw+1ZqOXUuteA5KizI3xMHea
wPav61z7iFapAaQ8jvTpzPcqpiARM8rtVihdAYO5NRsY2lreBW6zSLOINjeToKxU85/ZKKFLS88i
5KTlRAFoisZFTMjir+/vldsYxKu0yNvpnaFkuJ4vAIsHT2noXI9Fl54FNt9HvayyoHQybyeYb22Y
hWsP/xeszo1AThVO8aAYY3IdETj1QazaP8ysAefryOYjnBQc2sb2r7G4XILMY4mxdOFQgl6FENl3
mlFnpMkgR7SHdoLwopYelnCjrhyAc9Y7Z++28QdchYLOprgD03zT0WmbDqWjIr1qbmmJQ5LF5s+0
sUNtIQNmKMVyA52cySuGI4gX56ce1ciU3/+mt/nHYrZBuoNh2pbwVhpnShtK8o8qLcJAhlP0iV60
eGynIX+yO7W+mHrTIyvD799Ze2s/UW4y5uC13yLKG4BYkz6wdiGEFyz4x0VD2UQVV+w1fLfi9uJ0
ZlOH0Ilfv+pMqSlxcvZTiIjwcXSL6qH08m4nbt/mj8hrk0yhekJHCGWn13eQmIyZc2tnV13Jg1Lk
+Tmk/+6rNdIuwC52cnFt4/3hObQUrTzSrRRGlIpMsUowNJHe6ygDTJH9kIJ+++TGRRsel2gwHqyo
hXfsSro5flNnypPMQRU1SSKCQsG68MEekA0LQojqj6ka7YmlvMDqVvGXzvIywQICysW5eidjRMRD
14y7LMIZ4DwDfwEJw0QAW6YOefAnDXVB9Vj3Vf82CkezC8B5yfKY9JX4pGLB+D+sgPP50VaT8mLp
arfIWjcmJsVJ6hxtKHbpQZWJCwFRqFV5EfS/lCs+OUIGrrv4QYUIsYzHPLTbDGxmKtudbbyxtwAa
oQjiLKUn+pSvv7pNJyOZej6DhhrIJzM3Pd9AR3pHg9FZVJzWL5LxKmadMB1ATK5e5GwkFfc4QCPP
bcbpmqAXr/mlzXwMaJ5SNI8AOtHc7pPa0t5bVWkqgZExvvBba6Gy6cDyctS8piEMUkctPobRbCLq
ASN99Mde7WjptmaPsKF0S1/H9iA/eT3gxCCNCtEE0Ti5b6hHgDBOdqXOQa9myc+sM3tGkbP9I+9n
44NVToPha0DkEl9t4yQ9Zvro2oeoV6z20AooXUetr239MEjGu3RZnPGfsjFyM5DDFD2UpTV0fp5o
6re6SsLfeRXaz5o94eLgAIr9lAzC+AGFHonErvAq7zEsEG/2Kxqf4WnKZvm1meNc8QniKC2ISEmH
Y95DqH1yIrqDfjkMSnPwsFL+TIalZKcZo7HLlAn1lxsWzuArZtP9yGs5cX7BbkZooaCK7tPZSLQ3
qVmP/2gNzusnFwK8RV4wGXvl7kZ3jCoGiBZPQZP95pad7BgnIrTAL007Is1Mr/SQmk0URGo+vl36
hM9em5ZMzLriTa50/aFjhhI4Tq/vRLOXynq940A7LQUVOK5bAH6kG3k2TO4F0RLDPHqRjKtDnbZ1
8zx7Y83J0uMkesw8b0jPeUd2gMK9kiUPbTo2lt913uCdgWmF08kwBjTocwdplQwdZMu3aM27T4xN
pv63qjVJFyCURNs7Z7t8VnurFTjAzjGS8VEDv2dUpFp+qHpXVqeyy4YfuXCwB0D3XCvfuO7svbHn
yTYPTWw371JLSb+4FQavkDHMLOd/G1t+eZdPU6C0zpD6CmoCX5NyVrNT7qgdcPEpoTCZYzMfPkAq
58BMCKMXVzn15XVokx5bYQLMeBDepL1VjRm7OMdjn+0Ek43Eh+JigfZwzEkMlivmj6GtrBHPmcfS
u+gqLrm1ntee31FjHQaNPaBkbX2IyXR3Vt3adCyLQAXccgZM6/FcWC6A3UZxLzHyBH5qg94Ysrw8
JFXPNKsvReDmbRh0LemoqlfDI6pbzdlopz2I7UY+wvVMOcJvgel7gyNBYz1l9MEPgVp2GOpsflb0
sTsyi7Keu14dUbXPnZNl7TWCNy5TfdG2QAxSXVRIV1HcATfgGdWy2VWvOIVtqgZp7ZmnRarxfD/n
2mhXclExM6QTwqe+aVWMBaNWEx+Ai5uN3XuEdbD9TV0w2H5rzMyA7Tyb36eJRHLfqVUmmRDC+uRT
PyjzN0NHPKFGnBG2kx8loVr8NcIM3D9ZzMKQpJK+adaMWK4Mi5SIqzTimCX5fDXGId9ZZWufL5Mz
4hskkRucF/8hzydI9ngbpgrDLYCzn6bMa5bbo/euY585ODJbcbKXCWobWffCbGDWboF+vUHQgcwf
nK6OlUsUinY8Gk20iCbmngV2hf9kgtDvKnShLTn9GK1k/E0s6j6wbxiuFtmkYdobG513tLXQqh/I
NjP9EDqV/HcCaMYwz0mVkzs2zO9TatIPO1tn89cv1SzpNpDq9ZyGdvKg6RH89GomUoEjZaZtpaIF
JKDl5tNkYGMB+TM6VaWmPo5hpDc+dbEVwAcznwe8UoJWkcpbzxiV0+z26sdoaocHsCjKF8Nsx3Ms
lD1Nn420GME8bjRqZ2Co6+q/92an9WIgx8QRcUnnPD4PlZn/Tscx+5TkirbzkjaOMgSZRYmJ7slt
uzHOajglHetBnxI/BQyTOihl37yLuPT3mAebi9EQd/DBRpFh3Z7uEO/HuM5WLtPYpwdaULi0oNP8
gBSbdbr/8TcSTbjqhMYFoXUr5Vii/4ZIDM/FIHkMtBn95nKyjJ2qdOtrLRhndjSPw3d7fQPxhKRT
cUGNIICeVPUsjiYtonNEInSIS30PY7f1Arnt6IJDSdvop0JFabAHCS9jbvcHi8zqqOCj7qOm8fdN
VCL7IgLGNEbDinvV2DTD0BlFtDxaMnVPMFNVpJddTL+ETHbi2+ZTAdSlfbfwxG6gAd3AmLXPlItZ
yeRNr3jjha5l+y3XYse/vy32llp9MMxmtHiMUo4XoiwnR3VprcEl/hyFyV8r29NZ51qw+YdpKdiG
13vDAQM4QPMNLymWPLHfT0YTYPYyPIwOQeT+Y23cELRFUEJYCmrmZ0sk/CMTUppOT8GUwDfP+ujY
mnP6HOcyPTjW/K3u499mqw07F/PGm/xzSXeVAwzFbGWjNXsXzU6gh+FuN34s0U6VJKftHoRg6/lo
F4BZeUE7r1OueoHYqPh9XCrXLp4VHGoes7o1Hwu7RX12iAYuwdnZ6attPeFij7F0XeirrQGt/OXc
tX3o4rGqZlc77um9lrN+iqyh3NmWG3EEL8xFWIvhFjq3q2054d+qtR0pZSmV7jAjy3gYjA7jPDNJ
Akp1+3h/v2ytt4iyLhg2jAPWM2DYwWEvC9Qdsl6mp6Qb5l9Da301u06/Jrb0durxjTdJdUanhzEo
6eqab55oSaGIZsGaxDGaxBauFTnGO2ekJff8RjaX4lu93J+3PNqxTOAtwja4EnyHJ6Owpme6Pva7
3oVrdP8lbgC8LHTQEOxCiYOR+noeYNkC1zM7XNRHPe00TrkSVGNhHkZwGWdFcyYKkRliLQS158ao
un/yISsCXauUxyii433/52w9OWNfG9wCe+lmEmXUrF96OuQqVE+PEwS4B3I65RjRqd1BpWwcR/Rn
2DnLtcf1p78ON7KR4eBIuH14oU1PVVtGD1qiqKdmjsSxaa13o1KmO+CT5QisCmxQAdxDjOvpn760
fP4IcWqbC4TtJ+WStkV09KYie88sotnRK958iX+ssnqySs1LG/8H5SLtNKEex9bST7068dGFBrx0
/4ttVZLg8+G+8rUWN+/VFdGHYjY77N8u0Dyc75iiW5cBKYqDDGEIkIp6xrsax7bHLhy9f7Q6M50g
mQ2gZHX41yx3qgsIF8u0gjLjppY2Gor31CA1qyZVXDvbEVcv8vZMJTZfLxJ3i3wN1P11xaqoqROl
eRVdW8Mar64ARONacffsefl/GNbxTqEEkCYtfOnVux1AFKZ1DYjWHWMgmLpXPAiZf7z/BTcPwqL6
RvuBxvz6ikCIwGvcEGh0iAuHPzkTbiB2htNgigyuFEkb9Fm8Y8W19Q5fAjfwHa6ntU4I4CRtdBDI
vZpT1NIb1EvMYXmbWQhp+P7jbS61iEoQ3/jXuhgpCZ8C/TL0o2HgBdOUYbbRqvklRL5tJ19fPsf6
eAPqQKQbAsktsJsJWlOqNbUaAq3i3PeuiuRKn50QUU0PeT+kXynArM9dNP6HljTgRJvkEyTLwuZ4
HcyGEQEdxKKJ4nHlnUsktw5O0k87A4it8EWBRbuEdHqZnb1eBYV+bbBcjjrAY7RAGkW9ZLqe7dwB
2taGpHBclAhw24L193oZp9cYt3pIlimNNUc+ElU1KNpOTppvY1HVPITObPxmQMYgtZm1sTo07SSb
cy5ma+lbjbLymQR03sHxHOC0y96I/VLM+S+1mJv2SHtT3xsFbW2zRUSZuoZOCins6x+t63M8Ysim
XAqpTtfZbcRPr9CNo+2M2n84sA7QfaZ4iBLeoAnRyWoGtRI0NMrcPSwwKj+x1f5cdYU8ZdlU+HlZ
pjtcs62P8uLsh3YbXXp3tcNANnpxowI3U8JBov2oYYGJEcQxs5T3tjtBV4CS9R+O7kKGtylPadKt
O1OeDo9Gx7P86miR+TErmyRAibv5OTnz1/tBYuPkei9Nb1ahKl3v7DydtapNgbkpBUpJjBPM5tFI
Iu0Z7zsPe0kryj/anVnNZ6Cle4XPxrGiNiXA04mk07OOUE6KvxUOsNHVGgHf+lqjgtlEAVfdeZ2b
69ADoxO24EzWnQuzDO24bi1Y8k1WDb60Buc0YNv+4+/f5eIACXZPJb9av8s4R0liNiVNTJSSrgyb
EbWaAIMy7w2vyM53gRdBE8TyY6/c33pAWovksx44t5vWjM6wy25D2qxNn8sPDLRq6CbN3qW8lfFQ
D6NfjgCNwxlchcEQXxRnqqGsxvEiyTondeseICssGrvVNNPGHIrKOeapl4c+1JRhpHsbDwxLZqN3
AqMpjGonmd168oVIC4YBtOZNM7t0x8hKS9j3ualOzy3dBxgB4152vvnkFHgUCwsYlOd/HeQsgUBi
BVnlAjtCexjpTF+xRSsPkQ3FwxCKDh40j55B34y+F/fyonZefegHt97ptmz+kmX2jm0CEMMbmt1g
9Yrk0LoXoaBkcshjIAzwwq2kPhT25NgPSBD1iDiqNY7TOoXKsUKkpTkZQA1cP1PsId35SRsXgAea
HujKUoveKJJYQCubycrCSzYl4tSA0nky0lE7LeDB//C1waQtahcA+G90gfO5DBEXS9jnjhofra5O
j8pY7xGQNuprpBPRUyadQNhwfaONUxEabY0vhZ2BoIrrKnqQqpYBAWrCQzWnP++Hja33B/KNV6fT
rb9h6HkU06UoF2deG4q/2iANURUSBxmZib+/yxarxgVmtJCL150D+hM12lSRgohZEp5bo00V37Sb
6km2s2WQicaa4WdWPP9z/xE37lDSbKIiqQlKS2ucZYmYeodBLqUSPgznpleaq+tM0WOYulhfIEFw
HVtjLzExNnAEHoQSAgMhn3JrdXPHFfR2jETJ7yulMI9JhfhSkMRosTD/KCjHIHL21x5Pb8NPjbj5
2TcuVl1ODUgOKmbIRa9mpnKAhOJMDx1UjczvYUGXQd00U390YzG8n2ZPAXvSZCBFtaQfUx8rjvQ7
7cWRyXo+58mpQ/7oC+6bWRTA922+qh3Mk3etJyUuc4CgHtKqcZ1AEsKinZRy63onZKE7i5glCKRV
3HKUuErqqqLlrMQlovKjkz3VU+Wdaiel85zHbXmJvcxj/lMl5/sffSs0A6F34ecTnm8UVoUFibzQ
akS8dT059rXRnfMk3EMRbB1Wz6AXArZqWWrZen90Fsqc+bo6cPUpdSoeLLVRwali+hxWFhYnpZHt
9BVf0NWrWodL9v8XXO2qpsI1EeIBqqdOadNfb/NgEeh+G40ABPmT55sTxkgCwJuvh+h8OQmTkvuv
dvOhaQESpeg3Ury+fmicxdFRgZdGyKjqt6PiNadkjvRAqQ3Lj7xyb1J6G6Lg7zBMIB91kQx8mTT+
8ZKVuk1ljGYM/iUSA2lpovwDK+Foh2KvCLoNFa+W0lePVqYAjLx0kW12neLHnM9D4KGmFDC7M55b
5tS843xPKmjpsL/+pjzUIt3MyG6xsFh905oMm+km33RMdd5n6IGHBIRydJNQSF/Ybfk+i+j+eUqL
AZWw/9r3eGEMgyjVOKKQx9eFX9Za7jzqfXw1jDx+G49z8eT2dTVfUsCt4c4O3vqYnBPkD9CXvZXC
amU76ApO9tcsisSzEbYdbirh+E6UXbpzX28tRVWIYu8L+WLdahzNaDLTRgButb3q0KUuJkNIFRzb
DPXr+0diayn6X1iVuTDObuhtalNUatTBjE2mRHmcNEX8ag3ZHZzJGD/dX+r29NEDo9dACrYI3637
RqLPlYlrB4g1tafScltYxhCdsnDIDjRJ5uP95TZSPtZb7NcWEzRyv+X3/HH6mjadkmhAMxepRPeT
bIrQH+cQNLKSa0fZ9xMINNs44cgwHTC6yp4qbKyCMdOMnTbI7W1CqwXmAZ0QAOa4o7z+IbYYYllJ
fkg4dOk7r7S8wLCpTZEtcAJznCw/qRWw34W0dgw9Nrr1r5deLps/3gEiR8KS/ZRd61lVW5A6bdVZ
R9XKsjezi0afXzVzIn1azxCIc60xrj2mAtW1F6F6armYO95ebewFjo3bACsaNC8QP+QI30gajD1D
LEl9ftULbCOKorXPnTInp1SOlHu5qB4N2aaHTkqXj9bE57Qc1P+w9Rf1RRzyqHFvavjW1LCrYI9c
s85ygrBo1K9a33eBjbvZznfY2vr0ehZ3bNqyN5ASqUY1LSSIVFk1/4uUQqEGLmo0B6WtnI8FnYSd
ALL5fklgSFaRncbjdXUdGLGJVoWlxNcw7cVJjzU6XMmUG36vhfahNELzaDXErVLX4rdWTc8WC6Jm
p3+w9dRkMguml/yVGvv15kOn3i3aCLacVqfuN7Xp7LdyyooTshrto0kGtycwtrkg7xeDTvBBN1QO
R0vTUHjETc1la1m5Kj5MSpo/OoMSvxdoQ++kaluXLoUOcgsoPBBBVxGmjPvMqDC6veY9ShXOMOAy
WIwY1RV9OlHayvDQpKbx4X5g23xK0B0L/vOlzf/6tcYRmX8q0RxqPDl+Hau48wslTp8HK2RYGyV7
XeqtW55RzQs3BmrT+pbV6yZXu8KNr05t4743IBWj5fLrZIcWmvz5jHFgnAUT1bJfiOnX/Yfd2smo
OCEpD7OEeL7u6VmypE3vYWMZMqfCXTDSELnUNNSGzkpnz6cc26yr3ujOCaOA4Q3tMuNDIefY2SnX
l0i5ynU0+rGw6xAFQ/x59a3t2hpjMfbRVTDP9gUCCx+rQVF3kozNVagygXEbHJo1esvlDbvCZVY0
JbXxi87c5xpJwn933unGhUSdjnMWY376iOt9a9D3qPvFIkctlNnyaRPRRkzmpHvTqxU+zhMdgqvq
xs4XTq7IwL4imuoXEnSpL3owv74Sh3PjTx6b0cc2tI+C2cZzHDeI2uoOfSEXb8kyy5S9S325K9ef
YWnVEUS3jL8EebaX5BqluG3WXqAM8fyUjnHrnpM+MdWHlBynJPXUuy9Rrkrr4Lij+qiFWfU96vrw
yS6Fmx/IBcq/th9Y7M/JohB8B1h208Yc4GGIwlIAlSnRcBrrzjjFYOl/6aJU34/FvCeEt7VVyFxo
KKKTsPC6X4cBtoqjSESer//H2Xk0yYl0a/gXEYE3W6BM0+pWj/zMhpA0nxLv/a+/D7obNUUU0bPR
RgplAZknj3mNCi89MNQQ8aEeDu3L/c2yw49Dm58ECpQS1eLNPAy9HymiCyaCPEsy24UkF32PQlP/
3C5qzU7IQ9QMoSaJ72pvKdOTNGv5Fc2iZvAW2K/tszaXqXVS87Umgd45/R1ZJgiBylYl+2oZmd0g
KjTM30D5Wz+aIenkizJx4n3TTmqED5Y8/1jaIYaiLjMdu7uOKIo5p7Iv8XszoKHa7oL5xHgeJyQa
rnNnz4s762X5CLrPEe44KOnHYq5U80mOkr6iDduL5qKClfjH4j9Jf3UR/HSgtY2wTm1FinSCL1OL
jwdvcmfrkv+qeDECm7uJZJa6pOUydzB05VkLQG+bz2PbFtf7q+zcScwNCZhEK5pj2zg1OHGJAABz
lyop5cemGutHs4jbIFvS/Bn24WenDJVv99fcKSIoiwgl4EIYJ24n3N1QtWpesvXRWai8Kdfzh5oZ
sA+DJD4IADuXH9ABSMfM0pEM3oYuLv0kqxdAQ3Nd/qwce+CbpvNHzD6c96Fwiv4gSdxZD94OPYP1
AmTovYbSPxLoObQFoJIciECozRAoV8jAuc4kGlZC0prJg24pJ5/vv8+9RRlKrCkTBefNbBCX3qye
+yF86GJJOS2j+sOKltY15wppxmo5soTY+XzwN3iXMEcJrNsufW3FLQQl5hN9U47k22KN3vxrQ/fK
WEsOvuBO3ALMSeeWe/J3bvj6jQpdq4Rcr/iPskYhQsYUD8ygdnCR7rxCJDvBwaIusoK5twmwDgm7
MhmvNjJDlHOt0p34aI5OBATaaZbyVDWlMP37323nRf5GCFFr0q4FG/H60TCMNVrUBKWHetRrNA8X
6ZxWCeNBit2Dt7izFHMVoBArF4IBy+b5snZOIkTLAKzUQ3m2KF+fhkqLcq/ODgOXuvPJ1jSX4mUV
F7vpf0MBNSV10bLAQne5OA2hAh3TXGRjcA1jaEw3poz82fRW/E+c533u6sowpdC0Mv1/aZrUT0Tc
avG1BubyqUpVNJ4nEdlnfbaVL3B5bNOLnEp1IF71cISksWt/KIMq/6vZwsQwpUzGjzZuWkfu5HvP
RZKl0tmnpXPTatWnng7BJKVBFTsNYvdz5YdYiRxE5L1VfvdW6Hpgvbo9Xjo3kTEJanBDX7JrNSJx
42jzUS9sbxVQjbDCSFBJP9Z74c9AJRQR29qQBSABu3cxvCyvLbsjc8WjVTbhsK9ZZlTbLIgNoATa
ZEZn1azl/7C513C08g5Icbb3CfB8mOyQS4IqlyVv1OgXMX8rzzrg1IM4sf7g1/kkWAGCBGK4/y9u
9fq1gRqZ2nZJ0kAJRdx4VBPNKTRz+8OgmLnwtdGwzij/XjUrjQ6K9NsjTJZP2/R35xK7lc0RdsgL
TXnS02Ap9AJjp1h2NX2Yg0jq54PiZe8pQS0ywLJWoO0WFxYhPldQdWeBFkFyu0Rt0vbnxpps4WUF
BPqfqjWgV6DnWhh00wwB935g3F2fOTOkZzJJyGuv33LcpCOTaN5yVxnFo76M4pn+qezarRFd82hK
nqGxyWcYZe3ByrsvGVErMP0UDTe87k61uhicOCsvsrJ4eMTbPwwYn8K11epo396eDlSBOH4YzLDk
TR5UjFXWtyj5BzFkbDzm5+gdzLz+cv9l3mZ4MAaAIBG34PffeIckWjEy5y0gTCOpV6DeNxm5jw5B
W7pDWBNb66gLn0waL0dDo52W6kpWQA8E9TqSy+0+amRR9K2W5kGJBMXnsGympyxLTPmUoxb2M+qM
4a+uLSwfhf3+MdUkkXppkZWZa9q4iv2HT0vbDlY1GJpbMr0AUZ2gqZHR26w+1VFuPURGpPqwjqNP
b3/jgCVWlOiaB25ln0AZq11vRnkAMj1DW9iR/5qhrLtOVrWfGqcvzhYoyIOh807nA4EdlJ/WQQAy
gtv40A41vdtc5EExlNV5NgUaE4oxvYx0mv3eUv+d6965pE2HKGPWFid6Hkez4L0NzZdmp9E3WeuW
zbmVxhC9AisNGhrkl762NS8B13sQ7nefFFQCUFKQKLcTZ0m3hSKHRhpMTpP9hdHp4LiyOjmJmylV
tKLMx/ld2YnoZJtxXrpFZY6fFxwMj8DJt1njCmhdbewBXNs30SJUR+jq2NwFeKqki1tp1vijSqF9
Ip05iVOhpP/lMDM9IygrQKFvaEBNj5ZwT16wUohxz7G5XB/HlqG/l46hWbt9Gg+p16hDYxwcn71v
++fK69//kTDQ/sbXqE2ywC6l5VkfazPAvLg56HzvrkK1S4uCOR3o59erTDRIRV6HfNrWMYoAEmCI
zmksese/f0Z3Px2gE0SeAP/diPpG8ki14XDFhbpanw3tX5SofmD0pXqFg3Tz/cV2QjDRgDhID3Yt
DdXXT9V38iSsVEuCdFTV5BNzkvSrimOG+j41rfCCEUL5IMv9dL2/7M4zQu1jpEVcgBe8bfl0+qwz
pTbQfG97ENDDQnXghQktsFhN20e16IeD7s9t7xfxUoQhUbBFO/BG8B1Y51DFDb1msxjprrtjPar1
O1vqJFCxdjl8WGR10M51EWfRrxZFqu6cj6LTP739wQHLrsKFtPdvPi6KSmrK0nFgA4h+gtJa+pXa
DMDkSvEusvojUaiduRnPDZAePWr47jdcoYGAyGgE5Rlb6zHJisLKH+JZf9fYS3dpLBPrkChFcmlW
Ww+vnMbDCvcxlYTyN2ndcPDZ93bbeu+CrlrBW9tbF5H2Xtdp7ARllNLRzHpdys9G68xf6saO/aHX
2wenUsTbpQfBO8OXAr+wAq22vQ+BiluY5kythAhzX1+KzG/ss5ID94+Hd0PnvGiJVRxcezsBgyQV
Q5q1N3A7kAYoBIJhcBiVySHyLVVnPTtLecQF20kLWQUVwFVCYVXNe32AI0fNHQolBE8NKfYgZzTn
RZlDf87xrL2/d/eWgqi37qIVm7xt6RcAWkprQcTJWUb4T3XX4PqUdk6ImvOAg+T91fZCBBQlCDY0
+FdE++sHqyVYxm0kJUEuTzi1xaBbOgAEV2eJfyzgqt4edanPaI8BRqI7sM1RRLKUetyoSaC2ef3A
mNv2i1FrHygR01MSGu1B7rv3MmnCre1oKvYbRFyBiEivSqw3jG0URGO4nDpUdfwSeaHT/Te5u9SK
zGRiv0M5yZRplmJk0gMpJymplkI9pVOrfO3wYTp4i7d7HkKZuvbWUfkkym12Y9sKx0mqKQ1QpSe/
pPI8qR10yPsPtJNmsYyOvQw3yE7PCAi+ycZXWQaBYQ+b2fSyljOnyhE2tH7NfkE+rL5YSJq6kjLp
vqk3zcHNeXuhrL/BwvGLyh7VvU1GOSUdUkIzGaVh9GwYovh1GqT5XcL39sbKmQyXeF66uH6hrTMn
R1zo9f9/Xe+zPlqDqNOyY2/a43InTBQGbfIRtW0S1zSbx9Rum5Ngvuf1IH/coVrmvzorjQ9O5u5H
5mDSQsO7nf34+mR2Stsjs57z9vOoOy3Ipl/aQtfevGt/N8aZlq5AE9ger1cBTlrEdYqQ1RRJoVfy
r7yxUSxftI10ENj2XqWCxCXzUDLXG3D3yqOXnK5iqbArr6NldefOmCrXkhcH3tQkn0FRjmeja40j
jtaOQAqPSZ2tUpXB+NlWZG2td4pEGyOoh8L6ayr15Gc+GKB/10nEcKE1iTlHFknxE5O3qr46nRWf
uAh635za+FO7RGBNEHd8c0uHn8XYBcARqfUNzkNow1BImkFeKMx6BrmVhB8WZCFbX2oaQMP3D/Te
joJVAHwcHQYIhpsdNYkqs7CLToIQ8WzNRR/L/lTbXft2CUCeisMKIHYlWW33VGwxeF/iMqHq75vh
nCDp+NlGHHhAr8OeHssup7aHnJwJFAm18KCCUJWdI4vyEHqzQDZvpfQtfciqzsmTYFmWOv2g5t2E
ZpkmFuErq/Lg13yqBqScCiVGW2xMRnX2NZBsmqsqiL+5sa1XEb4ISVG6Ugwy0J+M1m6v2bK037pJ
raBk9NWAnuMcmucqn6f4KsuDFrrLrEfaQQC8vVZQZls5F5RD7N1tb9NA9TYvizQJGlnNgzydJr+z
jezaLdrR/tgN+GDHOSYo6dAC2wRbNXSUuh2GJIgAU70vB11DqQyVqtOMPtspruPpyTZG5JwguP3P
7iIQeQq2SW/fpWgYIUkHR4850yYiJV3cC8NAQBacYfc8LYPkWXluHcS9vbNAjooXHVN48sZNMxVJ
4qjobGALeVoPD4bVSFc0w+yjBsHe12MNhDD5eOhxbN7oMthDidwc09VGMf1Ijk2v7WBsOpmwDljZ
t5kcDQiQceh8AUO/UdwiaI8QU0aynKXqnhQE4rFsp2U5DcrgL5o9+/e/0+5uASvJ1Iw+F12czSvs
0wntxdWJKVs0+QdqQPNw6qxi0B8zxSoUv6EZXrsZ6oKZ6xRpab3EfWG/l9MOCtP937L3mtHkXduc
JEQ3lQc9WyHZM5LuESQh39abMIgSxzonONQdPPbuUtTwzHg5JzeqiTooEsigwHpLsIKDr2RyqzyN
6Hx5mLcw973/YHsflbqS1ikf9BYkEmGNIltSSknVGYU3AWl6FAnYAycO9Z+AMI/gvbsfFXwITCPq
HSSpN3eEWqGoTssN55twVDMXjcPsUet0vbqic7yk3ljSPUCdSnyaiyipT1XYiGs6VdpRf2bnPSOu
vDb/0TPTyb9eJyYtb2XU0OuiZbJMXq4sOMoAt0quQzHWB1fG7loEV+oDRrEwHF6vpWY9nxovmgB4
s3o1naQ5ORZ8ulSBhHL/g+7EHUa99JtYhRH69v2KsdEjaMRsH7QCL3neVudQDo/4KHt3ILkOxqJ0
Y7gKf3/mP5p12jxB24VAEZioteougpTTT3yllH8ANtnPmlKUWHWMoVo89uVQcRniPTh9R2s9cU6o
tVefO2eW+5OOfP+1bDoh+2OVjKniasqMLaqio1rtJVTejYu5SboCeGzrpM9V5rz9aAOBoRim9kYX
ZZu54TnOhBn14kAyNSx5a1txs1yk19TMjIOjvXPYWIrQybUDBnVba+RDrA3qGGdBib74kyL1ne01
0JH+jntpOmt6OCsHx3tv40FxgTRESgzme90tf3ymqFtQ68jJvnGpmJ/6VrcvtSQ6RBN756Cc2Mm+
cfEAdEr+CyZz+3DVXC4DtD6mQLaIX6TCSR6WJjXLCy9ff4IyZwXMNWvsKOEZHnzDvU1PEUMeA8qI
3H998X88JlpSQDdy1o7R8TjNgDFPnRF3B0+49zJXZSyudMIl9+3rVUptUMJunaY5dV6bLrAmA412
KfllLnpy0FfY2yrgSMG2UzPdkq7Q1EyQue8yfNrM5BSrUfU4SeJDpQ6lX1j2eKANtLccMIo1dYcU
wI55/Wgj4kPVCJwuKMpc91tumy+ih94s6UN6yTXjaIC19yppGZODoRnFYH2TthhxajW6nmfBgi69
n6pj6LMlC7/QpLePjPAJoB1E6xCO/w0GhnoFLRVQWoEcDuGjUg31KRH50UB594EQe2BoAkjqRuUQ
eHXf6zZtrm4WljfRm30uK0d3F/R5P9+P8LfdVx4IKg4EbnruN63CdChBR1VZGthNt5wl4iIzsMh+
D3Q2v7Rtmz5kdSi/uQvKoshZkC8TJ28QugUIvroWKYGkJlU2hDJwl1X/3n+yvV0IKYW+JJkWY6/1
yf88xjmW6SqU2UADxQsFvXFLp57PYh5qX1KKg/d4tNpmD+p10XItoII9lLHxrsry70mdpi8dR8+r
2jk93X+4vR0CmI1cnTYPWuub5Rx1hldRiDSYB3gGPZADT4pgn4qSE3B/qd0nA5QMVA+F2JsUEh/e
BUFjNqMuSc451tTsqrai8+Iklk9NNA3n++vthV/2PWx2UMa3tDtNXRyrsGm8OKmSnUnlqyBcVZXv
r7L3AsmdELfgmr6dcVU6Vr5OXyICZw/OyYCGe5rpVF5Frzb/4VsxYaBCZdxCkrj5VjYt42w0CYci
UeNzGcaR5kvTMp0Qfx7yg8X2vpaFpC6DHbpkN83WUixWIzRioRTJkBSVaPRiCyFneWFeZ5XtEQJl
L36AugGZCmkQAN36e/44ZaBOYJ4UXGOzkxefm7xrXQR043NctfJn9GWWkxpLR7DVnUVJErlhqIT5
etssi32YN+naJ+cFtEGZoZrsZp3ZebPZCc+UcsyM+6b9dn/L7K5KjFyVobi4typNkqXCMbWWJGgL
rA5jKuhLxojonDWR9YhMT3FellJ5+z5dBTuZTRrK2qvfVDjV4CxDlTQsOrfpc18s0YdEiVM/Vyf9
ACy2cySo+2mGwS+itth+StWKdGcI8SWcrEixz6GZ1e9FCnLyoTQpbQ5Ki52NSjxZsR+wIlcVjdcb
Z8LNI9OikHo8zax/6qgOL0NftxcjHqXWZdY6Hlw6e5+PIQQl2iqvfQM75iUuxTBg8QgtTvLiGC8R
VY/EVYvU4VwAj/d0GSvs+3tmPdubhvxaDqxj3d8J0ebzqbXdDyY27UFdKNWLpUzPlLHmObbw5bSi
Or7MopguE2Zdn+4vvPcxWZPyAOm7276UUjR9CvCERhzCXomHXw/Sv/kIi2kwzfA/fMsVtE7bn7h9
056aVVIG1OHjQDPLqPPQyK9ar9KqiGZYCaXqxS646A/upZ17gguQex3FdtAK26wPz9l8zXihw62z
FtMpsicbD66DD7i3CjpiFFhkfMTwzQdMzBpaVEfPu86Nyk/ntd1YDcVB1N6BnnHeGPlZEH8orLYP
k4hsrJDOBsinkER4A3XfN6eupJeGY5h4KaoVhdsWdVG5CkwgXwjdiPwlBmgiW1p30GHY/zkrOHUl
Ta9WaK8PJ+SEMgfBSHqhgfUQQ5l7Bf4Z75SlML/iEl59K9ApxztKyq8Zcze/T+vuSUyoRt7fxvu/
hM7qqua2QxmLnCnj5CoU1FlqNN486fE7I5FitrSZOUEbiu65URr9PJfG/B7lZvkpavCUx0WnezvP
FZCG7LAdmD+jebR5K1gDm0tR0utt0uhnhuYMVVvSuoiuqpcxker/sPXIuoj8hP1bnLDIWiAohklK
qSTLB8Oq0/cRUIWDs7sTKDQyfwVXh1Usb9vARnzDnAW66QHgs/HUavbPuY26M6lydXC/7MRCGP8E
CY7Ryttej9qfqcIQ2pNVyJDxm7L6rkdlMj3kdps9y7AXKreN8gLMS43pRW9PpnS5v5P2Vqfxi7wr
Wk0A1jeJiljsqs1oVwQSvVcGwMBtkrotz0ozRde01s1Lg+/ASSWQHXzHvTdMG5KZPoGYu3X9ZX88
dy+EMs9ZTqtbTudTYkm2H1lheqFTVR7EkZ35M+AB4BFQ8QmJ2x2KkgtRuB1FkC5tF8hy12Ajkude
3orpk4WGv1tgl3axIrwiXYasb2cJUoCvlwA3DoF5O+rHNmLEvJtPPA/pCYbKcl66BZ5N18Y+X/bg
xe7c6ERMfibUA9q8WzQInuclGoxN+FAkDmpMkjG8s61o9hq5mf2Uue0pGmXx6f4+2mEMrgxINJ1B
D1BWbpuVLZl3KTJuBBnXkOm0CIupsLmYeX5a6hKHlwG0GOrVWloq8IZH80NidBEUfMMMB2+yKuWr
oghsC2x7/CWPUVb7aooVg9fUufQurUKRwbNWEahtcL+yLsMyib9iZep03IS66jEs00V2keUQyblr
2vKb3pTKfKGWSjOXIXz3nXFRHZ0ZdjVfsKiNdT46iqn+nDmxfS0Mc479XBHlSwE9sPd7pCGzn7TH
Ke7QclhOS9fr4jrVpVC+qmo3f8J/tj1CSuwcRxRjoaYw3uVlbqeuKZKJEBzjKDCysL7kODWchx4d
vEyqkv8lFQOZOSwiyDixfL3/AXd2DXQEGjgo1pF5bseGUajUTTEy5FKrqAzwlYS9OUX9X3Q90McY
RIMganqEnd85mOTv8OixFQHtvM2t6wzLnN6BHZn3ojo5Syb7KXLZX2tVy1DpyarLJIrBay3wZ8NU
9n/ff+adLIZuwWpaCIxpBU+8DkGlNSQptFASNITIH9rYis9ytjQHSiB7q9BpAcRHHoNTwybAVzke
Wc6criO2oRQuPr6DX2bFdNBe3F+GccTajoBxuk3J2oXrIQK9aIxLkbv5LPLvRVQeOVvsFChoGxGw
CWi/M8zX70ysOjXsfOweI8d4qmz8iOJWU90WwQS/HJejefbuY5HMoh8DaYdN8no9bcQpyilIootO
qoLE7rKPUzYczVr2V3GYgzrcxfzxehWE/Y1ecNXT70Pl3xezbHgizWL17WkFfsfAOrnvyMK36A0r
gcYOEgnxolHvhDsoJfVWabXQlkcJkPvb9zcr0S2CViUDTnn9VFGpqEleg5nLCuzPmgpEdtQcCg3u
xSxYNrCASctApWxWMbu+r2oQSIEuNOmZ42T5CeJu7xY7bVG2nCyfiFJ4ijK9XWT7tzUVvBsVJY6b
FtIiOXDFUmCjysIAcy5lbOkWqf8L1uC3+29yJ1lhQr6iguFkMMrc7MIxsrWpyfM4EGY1/F0aRc2T
xe2nCaD0wUfbO2Cr0j5UYIZKN87miTNodtzh6Yz/J3OIxgk6Ncs8s1i+dFH39f5z7S7GN6MfvG77
ba4A4d6WtFTH7LsX3ZNjxJGb97J9rnDnPk28i4NZ2c45Wx8LcQFa+DS5N3slXnQ1G7USiZo8mc8k
EvPDApfUv/9UO1+LVchnyd2g221Ty7jLxmlWJsy41Xh5P7W44ZhMA9/17XiE4tzZ/CYYGzJLTtht
smXKeAdhgBIFDFocPUjkNEt8c+mba2lLjoG3oJlcGjbpF6dezIOQv/ecQEchbTBToi7d3F+FVuIb
g89QMI1Zk/rhmCsfw2RMKl+O1Pl8/6Xu1ZzgCUCmMOWkqbk9A1ImwsKszSLI0DA8KbMW+qk8ZW5i
ddJ5sNTwGivOJwpFPJCNwoGUrES+3acHR3Fny65ubPg/cP0wKlz//o+6Aa35OmySIQ8ytRQPBUo4
3gRW/WzkDknakBzlKDtfeCURrgFuxRhtH1uVS0mvY6sIRm2SG6RF4uibPElq61tKOJO5xOb7No1i
f4aQ+O/9d75zXAD5AR0Bq8J4bXtd1PbIZR7qedDmQPz4wKHxImSrO9JQ2kn+AKeR9wH8x7hky2FX
86UzJFiaQTYOAmXiAWos9/GpaAH51Uh6e23T5tf/8HB0HMH8IHR6U/iKpEIPrVGKQA/l9jHXm/yh
GZP6oLzeezRqEliwtOHA+6yf94/tAg5Vr1JpLgImQ8bPdljUa6hY6d9OVWqwaQRSTmgPp0eY9b0v
t46UaYwYgI+3urjAVIAvhlFBVzztT2ljxYhuquMBXGwnADDpgWbARAgJh21/LKTxDfUoKwNZq0rZ
Bcaj/d0kbTlgSykOTc12TgINaU4evWkF45VN8K47MrRBCjkJoen0V9sa2yemLcO31lGiwrc0oJMe
Pru9Av5ynkrjcn/D7AGA+QEQoRhdUjBsaxQ9VFJ2jc0UZ5kgpyy9nsouOLHmexs5CUZ8tVEt14Gw
EblWKvJ/NVzrvyxRO/2oO9VO6C13QnEluNbhwa298yW4sTlCCiCvHcgV/vFoCJr8NIGWqizs+Wxp
mX6l8pEPXsNOACQFYQL+OyrdEMIkIPwmPbCMXK6ufGMph3eYI/ZYo63W61CuD4LQ7msn0hKEgH7c
OpJLRiZgF4P86J2we24T03gh96/tM26rs32OJ1la8A+cUtlvkXw2Ay0zm4+oraLibvVSIj8seapd
weAjZ3l/S+y9dqqdtR0ILQ2D7denW6qisVQmdkSZGPlPKZ7htktIfISjob8d5s0bXy+A1Ubwpvkr
qXY2kW+gT6DFv4xQd97ZTT+cNZoPn9/+UMy2oKHQglytq14/1ARjKIxVIwvSOS39WY5jqisE5nJ1
tg7qkd8l7mYSw6R8BZtShN+m0LhsGnMU13nQZWHyz1g0y1/dmC2hO6ZO+qCMjn4x6cCYrp7kaO/Y
pXEaO9o3bz4+DoGFEZtNgXyLVUmUQnKSUsuDWlNG3YNZ2Kc+WLcV1DarzZFM6O22cWjWk0Gs5d5K
9nv9hsu0H2w5Al1urWGzTOfsy2ya3xF61d58ybESE0ryUYiwN83xgVu9CBGfD1QctFxDDpeHusyO
8De3lxyroMOEqiUOuTeBkTb5qA12zGAC/d3P7BP5ShKX/tTA21muHJn9aZDRmD/4areRCDgYrk4E
PnB9Nz2jlDs7qZMJUcLFzD6iBKzCaC7bZ3PWa3EZtFhRz/ePxu21yooUs/Tk4QXcwJWtsqFAM/Q4
GGOB0/bY5b5UWcpBhN17newKWBYrDuIm7dJKgl3LuD5o60xcm7JUTnPe288x3mpnSoHu4yrn+faj
yNgeodzfhR9/bDKVKKZQURaq2TgpVDcNOXqL00cejcL5Y4Oy7a+RaemD0jfZGRFC4VZwxouDT7r3
golyAJHWaQ5J4euTUdn6yDthmEMnPb+EkRM+krwctUFu+34MDeFF0qkyQShvwzb4jlnB+iEJKkma
+8sc685V4vL+JFS0/M5qN8gy/Pco+wAAN+49JqnNy9t3EghDOq0qO4m48/pBke0TXa5GcAfCQTxo
mqT4I2K5B72/vRPC0QSzSf/KID96vUrPS+47DGoC1RaLN+dT/5I2KnroQvxIMsAu9x9qL64RzE16
WACHbxByBSouOPNAH5AVgpvUaBquNJH90CE7drBR9s4ILo7KipBby7HNRhlyVWP7WUC7o6zye8cA
Yo4WKQwTy4xWleVOXJdi7r/cf8IdkjZdEci7K0eZa39b8/azVI1yScEtjHoKPRugjTdNofxOAHn9
ZeRt03lw5pWLIdLZcakV9fBUL4v9Hs8tifFOIeyf93/T3plZP+7KwCUr3lakOQqIdjMPUdCOsfYj
FXbxog//wdB1vabpQgGxBEK9rQUlW4Kp0TAasI0uDKwRGRZHHeYns5GPJPN/D8ReZwV8WCTwCICM
q27wnNTCSE45BPYkjTPMXFFzeFfnYz67i1a3YDRSgU2asJD1OidcoZ9wE8zFj0aUEewRtf06mFX/
Xu66vPE7sx60i22x5WnRdYvpLlGpKy4SjhozmAlU7NnuHOOEY07VXqRerk5Va+sZ7YQ6/tZpzjh7
WjswB1CmBfSWo8Sl5S3gdTV3UqR2OIj+O59zleyiX4oS1a1QKqLT5HoSCIqpdD4pfWY+ZQizH5Sl
OyeVRdjD+HwQC7cRUGiZ2qWdFgeQizofv3BmAupSPxrDKB/cmTsxCHAumJD1U95WTWqUVnO9Yl70
UVbQlF/G92OnRk/WsqjfC3kaDiLD7nrrrJN9uiPkNVgFkvkWd7SUIZIYx+Y3dDiz60D38j0KvvbB
vbn3udDloC6klrplSUiVM6COEaFT18g98zllOsFQ7w5W2ftePA9axHTabpvctViUtoR5GUxzljwq
vVn5paQqHtSw6qCoXyPn5vCtkuEkAKt0ODfU6zujRI8RFxIADlFjzD9TtCa9nvn9deqz3qskO3ln
4RT10iWHplU7D4lqIvXUOpWnna++XlnpFIaLGuJkDm0g44yuZ/oc50nzd5ZI3T/3g+bOLgGkRB8B
xhevdKsyZDbajLTySieQ5/iMjUPZeb3OzLhIW6lxm0JXDwq4nY2CMS9VFXMXCHbbAJpq2lJMcZUH
SySVnjkU2mX1nDndf669dwidgPbE2nm+cSgyJQNO4hLnQdPqdLhFFAcY9ZoeoLQjqY69pcihgHGT
X9Ar32wUdK96B6PRPECHa/mOo6AIPQZy5rcYjt6/9x9r57pHEAbQjcG0lAt/s9ZAcNYTA8PUUh2z
J2Ua58YL81b9GIdqXLiTqpSopZbZQSzeX5YmGlZxCjOe9Zv+0b3rV3ZyNYOjbeyp6N2esFK5Q5QZ
p2jSJcNrUC0LZnl0juz29t4tUxhQn+DIyVI3zztzSv6fRjROvenH+At+KjScT/NJVj/cf7V7S61N
V/rqKxtxm0lJqaFOaW5xFXSFgeIMAvOuVenZKR814A73F9sLLtw3oHDB3tyqToxYJM+5iR+HPBrm
1zabFPRttdZ6MLPGeEiWSrsqsIeekiLRj0jBew9Kixl6Fi9Vt1Tt9cfUQc7OekdWYdjQXspaX05y
HdfnOLbFwVnfiy5/LrXZN1k/ZqKaFKbGdp6ci8RuzyO3x69Fi/EcqqPw7aNWENC4Cv5u/q3kitfP
pkltXcUFLgS9Mv6K9SF8l7XxEViLe4b/ZnM3rBcd24XWEL24TYRGCCVmzABoKqwiQ/+UU94spQtb
XoKX26vyOVvi1nLDUE07DzEdo/ciFPwplyGWYL1SFLlnKb00X8zaNitvFob8Fy432lerzYXlwqxJ
GvwE8snwZT1rzZd5SZtfKRSlxLXtxvkkUqMoro6J3MRFs2tFnNqoKFtXQqA7yBQFV3cnT0PZi4pp
/GXKhY0DS2nL3xSzcFRfgJL8axjG8EM6mEt7GnO1qHxTnRBwdxIxvJMmp+3OtZNo3+xCmgZfT3tR
e0WmLbmfMaZx/Naoh97FRFeSMBpdludJ1SrzoRp7sO6jBOTec6C5/jRaCssPIZ02YkZopspFrZoW
+uO80KcdkJzz5rhMM68LJWtyZ6NjJL8AW8QTcc6L9hnCEU7DdWZnFdlFOf3IERxE4ZreEsiUQkxf
JjGln4lS1vK+dSzmUi5Y/8z4F7HJCSmIVon+bpM6Hh/ySncu+QBn5EFSx1acyOaVxNNS2c5OoZyl
5knOhY6LhC5UjbgWa5JXakn8vIAXyHy8ntr/ET0m81HNplg9CUlqwEWNSTF8TmaKHH+x9bx4Wcq6
/VgltfmEvJ7I3cUcp+ZlNquocrPGXL7ZRur8HM1lPjsTHlZuHyP0c5UUs7EuhVznKByOw/Dcp4Wa
Po3tOIwu/FNh+9SVI+l9bqTCX/IB7mjqjPpylfHGE66QufVOyPRbma/Mvd541WjibFjRm2qvqTwo
uSuyqtb9pnPix2Ie2x7j79T5hgbZaHvdVBifa8doC9cCrGM/qdI4BkaljBnKwnB+PZmLZroOUTnX
yD7YuR5jb9Lmits5MKcg+lRj52fgo+oHJY1MvLe4LGrXHkT3b60j8+eGmWTW2NUxcfZaXOTlx6pb
jC+9FEYAwIyk8LK+QFTRTJlRuzMoN/EyUEy2bm6btfSlmBrV9AT06kCq2uWjliBy/1Jgs7u45GzJ
wKZ05uFhiuvm8zC3RufqVad9rWp1Uc4IrZrlLywp1dxTMdM4aiDt3JXUhfT/mOSRd2wr4yqdBIw/
iBhGn2svAHHDT07t2D9zavOPdav820zVfHCd3IT0lYCBBBQXJMnOjVJ6m9qjVcMgwE5njr12xdpV
sZScZsn4cf/iumkZ0eFHrZmSFG1M1tpcyBNtfdkYrTwwWzX7256c/P84O6/etpG2Df8iAuzllKIk
S7bjOD0+IZJslr23IX/9ezEf8CEiCRPe3bMF1iOSM8885S7PgdaaYI6cuP1Wos957pKm4OSN4gt4
3bg8vv4DVo/KyIk6ivYj6SqjxEWEF7FopnSo0I2unOJZhGLEodEfKNvq5PRflkI7A2g3V8oSJRH3
eR44MkRAf4CvmeXBBD2hNE6q5O/ZVM2/enmhkM0xOkTBZs1RiMIJsKOdM++thuqf2a3rl9IxKXv7
A83auNyQs2bQsqsYRGi7AeanetJ6jm09idg52HZs/JjlY6edTbl1SVLwYnwK5G4GF9/exXpbaqOT
U0AlMPUfnEgbzj0DYnE2NUHaWjmRuOh9rhwLWRF7p3Brm+B8TVuMaTMglEXHL68A39Ei4hQ2WEdm
rV7Lrsq6l1xq27er4QKiAReALi/QtRWcJjcjuQ0n+qiqAuc/UQlRdivODWYkO+/0D/L0ZqPM0EWu
St4ovrWrukY1JbNAkpWBdpzGgzc3TO/H2ml+Tnpu/zZDnftKzuxEdbO6zh8Tsw7tx1EvNclrQ8lO
T75Io++yn8uMbAcK29d32Oqbzz8PuzWYCMxGVzsMy85Rx640u4Z+nR/wVOceaaZB89LS+dEHlna0
bZEefD/fI1CtUk1WplIAXT5DSJHpvN1thRKFQ1B1GWWIL46SlmfHtCz7s5FY04MaGeNef2W1w+YF
qfhm+i5VwzISIj1c+VXIgjmuxtdilAXHqvwAJSXdaVL9CTTLjw6LlsKEQSQtwfmt/1V+4XozgtC1
mESqk9+76hCA2BbqYASerrU196Jf2YVLxjKzKqu8QtJ2jOsXNYmLZxkTp0+qEemjN40w4u/6DrFs
N4+MJrzTnMr6nDWNOWAEUSYvwAXS76nqg10aBY937NVCmY5DpU2/ciEh9ln2PuAGBFeVFOu8ula/
sOe71o2bSfTPdUin7mg1kEqZssGwd0l7TJpqoPS+V0FgCJdywIoOOIzGjstV2LduUOD+8o6wlXys
kYHyXWW0h6+vb8xVgOVrwRukZ40CHvxI9fYV5nloijBH1j7iWY/m5LefjUhK3oqrm1ehC8Y4EwbO
KhDIVoz7lZxmVzltVeJcJD3WWbWnarmGgLEM8yniF0XIejoUxXFqpmBKr5PlR+c09Ycj+Y7siSju
+P6KfwhTVX8KozbCZc6YXsLa0p4G5tbe6291levMP4QxIJkfJEJYULdv1Rx8mU4Wc/8o0ccjZkQE
e6lhNi1rwktsiT1JcNw5DlsxhuU4Cjr+oytqHSfNmWbgCT2QIP8dGFl/iaXAtlzqS+vk64X+Aj8s
fvQR5d4j3G0devR8ZmQ3+AMy4NsHZmuVHLIyv5rdONzXctqDN/OxRuudPfnfzaUQOaalymordZtY
Kin3ZugSYtQ2DU4pgKmCWIBIJnsn0dn4jLbMgBVVVppy9Ptvn4oqItBG9HquY+MU51FPymuZWOZR
YdRwKKuwuJctP99ZdOP5aCihDgNukgnSMhmptcokM5+yK1Lb7YuGI+U5qru2cyN1svaQdcrG9UC/
DKkg2uEbppc0zqggejZNTdno1r2hXMy6ztyiSREnjEbZBa4fH+uks/8dGBV6ZQTmLjHl5i6GRHOW
8sm40AVrZ7XKyfUreU/NaCOzZtxLNwihJhms4eICm5WDFCG4TyLDAj6FwGNGsESk7oS1Q/EJM6Dm
2wR++CQSNKJQ20jHu9dP8+Y7msekHNl54rSIkZUN3KWm1L5OamLey53xHoMKlDmHDKYUDic7uczW
csx1aAYztlxLG5ZmlU9MnLJraSvSZ7toEB4wMpRHyz49TtbYip0F1ygb2pDQWzCbBKO0Hlo2fZk7
adaCWfXN8h04ouCYtWWI7pKRxN/xJhpOadWW1kHLnfGT38b9Ba5TsZMjbW18Wu5Q9Kmi1v6gqpDS
OtMB2WRmE91nsJ/Q7e0rt5WyaCc+b75inLOo08jFAI/dHuwslafKTobsaqdme7SCyDmjl5LeOWVg
3bdTbX1/fQdtPRq9fR1gHIgUnvF2PTUU5TCYHXzYIGxeWMmYDigv65+Nvq/1nc+59XBsHw4dEyf0
VhcHpsNsOsDCKkFrCXftREmms1Kp1blAmOTQWSL8Dw9HlY0jJi1Ndu388H9lYamSJ5Y/4ZRQclLO
k59/6B0hjhGWqF/e/hr/Xml+8r9WAlWiBBPp0LVlyOwBC0voe9F3wz92r2G69cWoJ7BGmgmRxvLM
qw0uMI5CSTg2ZeEW4Pge06bFVQr22+f/8FQzZpRuKPy2ZbIwwnvFjBd0VCzn7TWyOOxeYRPfBmzY
pJ1Sd95pi5R5hmxrTA3+6J0tXmFCq0ymSxRfuzDoDoOtjfdhaU87qcjW25uFNUnNjY3Cb2jMSG+B
w6JTPWmf4ylMjqI1plM5NXstnq0HosCh3KCymmeDt3uiTx36SRWDuiZIUSWinXwFvLOHYNvIrdgI
JK9cA0y7l0MQDLjNWFS4jUHYRBdVbkJXt8fmYvRmeAxt2rNR1TdnEsK9ULX1KsnQoXCAA1zzyTMz
BVXApYYsVxzB15DHO7pQySEVSXF6fSNuvkpuOFAiDGxX1IXGFJhMhWZ6Jb2G7Ty2aGr21h64cfO2
IZuC8UVNzHxwcZ2irx2KxppLDt/pjnETTzRK5fDjqE3xieQyjV30kdqjlkx06oauwbDYKna4KWvU
MHfezEqBvsDFt8pY/Q49T4qfFC/xVg2Oseqbgl56rJ/6GCkCQCV2BitYgmjvFrlTd+eiyFA0ThIc
W6m2s8wFStBdyLn3ml5bm42Ywy+jZ7IGa9d9EOe+yhAgBy59P5gVQwzTkt5nUfFz8IX8w0Gs7aVn
5LBzc2xtAEIDxQN12preq/q2KWlOmV6F3JuPVjtEX5Eq2ZOm2sqqueUB78BXw8hj8f0xo1DzpMyy
qxVZwa+sE8E3R2pHVxGQ3IEQCdcRyZ67+9Yx4pFmTZ4ZELoMsq2OhY7dIudkZIb8mCljVrq+Y7W6
CyRL/fn6Qdr6gLMCHM4gNv3uJULarBt7kjMW48dAqdWioTyjF+GTH9ehfkYTKHwnKnnw6E43O6X2
HMAXAX7GKlNfQnKn4zMrV/91R4ZlGiDKSTxkoKR/qBTpn0Skzr9YcYXUwF1f74wyN/bMzXqLr1mH
vto78wi8TZU+dXO1HX86kxp7r7/SzWXgQsMjIaVZ5eCEf+iNoZbA3y+kR6mCr8wQdyeT2QpNCDDM
TEqgH/pKK52vKTO3xMasD9W+v0NoiFYSdu2mZ0apqXiSaUaKa+Sdqbph3da5i8tOlHoZfmNvHkcj
WIV8KwBfyk8OyuKmlq2kJviRM1ZF9qIZCS7CdmceQJ0Wb7+tsTbBAoGYjCvIcnQg+3qtxS1Ck12X
FV/awqZrlRewA9PR/A+ZwfwREbScBxUrAG/PcF/rUhpxNjoTH0srMZ7CuPQ9S/TWTtm21Q6am4KE
GpoSnPxFaoANSC6ZDapqRqN3cE9Gtfs3S8riZy1X5YOIFf+kpE0FiR8PtSMUyv6ianmnuHjZaTv7
dyP+sKNw6wV5hgqF49wey7GpS1tSSJJVMwy+dvWoHIyhqK9pGozH14/K60sBlLpdqsDmuJ8cYFLh
6EeHousqD9Gq7J2kUTi/vtRGKIc3gJIhfRhnxt/cLtVomAE3c0IeJgqYJQt+ggjj6OKINjlXKKPf
jeEedmIdCUAuARdkv1LAcYPfrinUqGrjvKaVLnwc2PzA+ETdKO9pAq/jKMuwGWkAzXn5smTTwsAy
JodeYt/b4zEKIu2xGaTc86XcfIiaZk9IYGs9FWlDKMFsWjqyt4+lJlWhTQptnygsFbcpFf9RHcLk
nar1JvgljHNe/3RbrxHGJ0ANhrJzD/h2vdwUTttU8FQbv7c+dpKSvGtlpdpZZb0XMYnCeIKRpEZG
syyjIp1a3kQU4TqQ+v9CM9c/JV0oHjU52RGKW9+5rEQBOrO3qW6WdUCiM88aQ+BzUErKX5ODa9LB
amXjbPuCoQC6pRfDYPYa2RhG7hyDrXfJmjP1g4oHX4rbdwmOA7axBqiuwFbp0gihPESi3EOSbu2Q
v1ZRF19M98MwG9WcHWm08vtAHZNTGY7jyVS67xLA5/PrG2RrOfwVZ/MCMsIVAjLuSMxhySN1PJbt
IR8kK3YxsAjuI7Nrzg3/z45+2dYXZC5KxqsAN1tNsM1GU/wBVuK1VirhmqEFxAYNBaT+hP9RArtN
U7KPv2Ps7uzFsT+Wf7dZEz0ncFHsn7noX9V34Pk7CqrsOsRjCzbEIoNyW9zAlUPPfORTWSUKUVQG
iaL53TURnfQAah8jK8wgv5LPmT+QWE1q1xZZnCFU5fc7+3vNLICUyzCVE0tKOVsQ3G4yW02MgWED
BD+wIB+CpEhOQ937n9Aw6h/wjJ7ugHhhYp1iKVJltuyi2awdgr6xH9PCCncO9p89vXxjAHr4RRTF
ROPFzzFk0FBR28O2hdCfu52Z+fUhTjT9OmSDXbtdaOSRh/lhNp6koSgLzxYogLqRoqX2AViTnrm2
X5v2ATAvztOB0obR+ziuG+vQ9jF+ZFY2gb2KQpsOv2hrVd55hPlULp+AO5kchJAAbHQ+AH9nypUd
FpFjZleH2u+o00Q6dSgMwQm160fVR93HSRGKG8shR4O13tOy3ThfBgab6PPPANlVRYIJr4Nfuppf
7b6Wnga5b0+KkRrnuhidAz2hPbnHjeSWw6yhvkhhQid9GSE5XFIeBBi8VLEjX0Z8+g6VoX3VhVNU
B2OcJmySygIEAmTt/l1VGdkXeFDirW8dhC6nbBbpQQFjda8WuYlPPNPMC06y36paz95Dfzfnsatx
V5d19qRNNSgweUpnPJZxeT2orRIW5lMzRRhK7qwRvxyu8GAmViHCvDgSXJAC3NgTs6P+kdGDOGUq
Fqc0T/fI13+ix81OQzB7BtByQVlQEY1FTSZsZ7JjOXYujo7s4IOmmpBUmiHRk3vdEM4X5KZtRJ7S
LnLN2q7e910pmy6u9XHoJch6PdHLk6U73xmZHE5+EnzM2bzvZBNd1ElvpnuyB3Wv/ljtT340ogSI
LdPZRXRrDtd/HQ8a1UKkhWRf+ir8GmMwd9atIDk1UP0PbaNXO1nrxnLkxSaEU8Dva04PpoCNPxum
XlBrFB98q2kOTIjx/x4D6add1Z/euhEgowJOoKk2C3cuN4JtBXKv4/96KbRcY6CV+N2D1qvfpNTX
32eIVt6BBG13rtRVNoQjB76zeL7SudXpWd6+UpGVVU9t5FwAG40XW6/sgz6iLjgMiBu+/nyrlISl
aNPBsmOYCNBoEdz6rhCB3wi2nImOn2ejLhfc6WBA/nl9nfVng6oATWgmg/BCl4pwvcFpoldlXaoh
tb1YT6WL1QHv8acoOrVlpexsk1XQRp+Kz4agEjNl2qmLXdmqg11lamNfjC6on52kaO8qABV3gVEW
V0U4vStZRfHOFmidj1q21z5fxw9kOih20KKjr70Ct1R66shTq1iXTJP9J6Qd0u+MLTtWNXLjBWFD
LmXHqgLv9be83jgsixwXlwUJ0ipZ7+oW1Xg4FpfQkqZzAr74gLyoc0JLPN7ZOBsfFIImSRjNI0Yf
y40TZAGqg1ovcezlzwC01csQydYJO+7c60uRfnn9yTaWm80/kOsBLs7JX6QRqBVmxayLfonNeshc
6F7N98FOoneiyBDiH8Y346FAR8Cc4yMy1p8nurdncGwg0NEJcC72kNsfpaqU3RjNx2/AzpnuKPW/
rz/fxoaZBSfn0p+wxr65Xa7D749aVXEu/lzRDXBt341JpzxpklW5taN0l0nWutPri64y6fkZESpg
0jOztZepIjQU4ClT7VzaTHeCc4DTWek62Qz7mEAZJRdEHKUXI82VH0VWt3tOxevYw/LAM2ZVtzkM
Lb4pWqzdYJqE8pqHPo22ltz5PORO12prFf468qzc4xzGeWf9dT/ZsaZ1fms7l6qu9K8VGqLXIgre
3Hc02CwMfAxALXD7l+3ULGhE4EiQZ60opw0vNeqxK5O9bHrjfN+ssnhjdq3rAX1+RNVGpzlWTglu
2Ndkl67D3rW+8drACbMnuRP4OsuAHRRsez1AUddqp8pTulG9aJ3t7wSszVX4NEC9VfrfS+6XCEtn
kMjomc9m00URCVj5YHqzbyEfh2mVxRwHYgUXwu0WUAJFyaoasUctzr9MrZ+es1qJDpVlDjtZKxUo
f+s2hyNPnzEZaN8RF5eQATWrBlVEWCY3g209WUUVfOvRr3hSJjmM3U5LkBiK8kgX7lBkiKyBC1HT
L3lvQKn3+84ECRmG4Hr1IbpD0APHBZ2m5FMopfG/iRrAAeFIA/edmWTJY2SiHuaFcSf/kovQ7Fyo
GuoHq7UAiea09XCWjHv9MbSzdHQznf6zm5DSYuIs4e9hgbqNDk4b9eopVdpK/URSnsmugQZPf0R+
3CLRTDM59ooKl8ADxq/MukarMN+bU5LL1DySlR6lQedmczrF/ke3E7mEvRBw3yS10N/bY0dt1AST
M7nhUE3jO5Jc495oahQje2HLPwrhxP+GoWY9Q/ENfG+Q0Jt3TZxPfut1mn9IUyTnzjnR/wmNJL/w
BtMCfyl3UqIdelxfvsZSXrw0fZc5h8EwMttL+9IfcMC0wk+JDbPGa6HfHTXfHro7vxPmY9VLor0W
XVSnntT42re4hYNBq16bMTthIh2HThOBa6LDKJ0SJaoeMjE00WFIpOQlQrAqusuR/RKu1Si1c8IX
O8wPtiNV4EcjxB7gvwjkxjrVqJ7wN1MqzxetWh70NKv0y9Qg6oSeU/y1QBe+woExhOIiRVNXuUbT
2qZrJmEveTDKrO4QF/zj2pJRPiFaLCVe5UMW9kzSNpmPZEp0IFou4HdjDQaKWdGo3VuZJepHSc3G
5rkJNPl3XkyKdkgqVBfcvqqm6r3qJ8k5NgvcNQJ6VpIL1qX+VfKd+8MwJX58qJoczohui+J5ssRg
uUbsVPWdpKrVvygRpOGlZkk+hQqZxjUiO3bem3Gpyk99b9KaoTBpHoi1SCiAhCtBY1mp9QNzlDCB
JNVn8QcfXmmxo1WxDinzlH8mIRKR14oYvg0mSkdE+cLFbnzvA7/9wq3SvzVwwTsEdIW3EqnzGqlT
hpPEEBy3NJyBkncxAlIvVmQ4O1ns6lnmVYhdZHKMeAD33waurE8k35LM5NoTekHK1N0VNE9693oa
sFqF8EhrgVk7QCCmnotUx4wqRYaOF13HNhjuFa3xj4aZ1zsl9dbdZXMRUyWSmq54PSP3lsDXBV2Y
bog8+FATk/su9mp/2DMZ2lqKjgGtmlnkjQH57WvD1BDl0ShFDX6S8E+iVgNWEiVn6sZmh+W+sRRJ
KfRvelsbkw1ZbYrBiCvp4setdoirOjuVlRk8aG3v7GGN5q+9uFrgKeEWwG2M1+nyamkNEx85QOB4
Yujd0Rzl5GgURvpDyoL0YcAHsd7J8Tc2Bpc/ORqC8/NMapGUplCF1aLP/ctkNcLLcKjwKgLTXsdy
c5l5KjQr+K/Fu1rQ1Sl2sWRo5J5eWnXOwalxb7cRB3HNQdV/GX2d3JljpnmZGRT3fTX+5HCmXjCZ
+d1Qqt2hrYt+51hspOT0rVGoo9oAhLBMHJkpYWEzBfalMUusCwInBNlfycfWsosXfTSNMxnsHrZm
Yz+xKJjw2TZ3zYz1CeFTChD70tFl9ny0Q079FAAL6CRrJ1CutxNN7HkQQhIzi5fPn+WvxHicbGQF
jVK9KEGQdm4YCD/6UstQp4c8bKIfxeDvaUKsn47txFSeWQHjVnp7t0sGOVxc0fTKJRKD7dXoZh59
Fbx7nFd7ARpA+/K4sAjFFP/OD7nCj5TIOY92xUwp1nu7OuIYbZ5UOfDNQxsi2uCOorT+TXLM2E9J
2sa2K+uZZZ+0wi/jA2r+1meVcV7g0fyLfE8MAZxSsEKCe7awCjfR1Kbywg4bc5xoC/Upgl4v8FUu
yPCQB9aTk9QMxnunxnD4nOZj+5IC2f6txEn2xXDGQD07dOedixzgJvCgEbL0Q8YwmgvVEeo/Zlsb
zQkHjeGbhTjgeFeiCmQdfTqB33PMfyJ4y2kznVotTU+TMvRMA+vCsC4za7w8KU482p7ZIwZyL3UN
qUqA2I7uGXoaOQdZGjqEKnCB8Y9hIYAKK2SHLxmk4QKXjKyKXRXygOFFttSqbq079cemgfBMqmED
Z0Dcz1IOhd/RXEAWXrNQ/+7r0CWtKnxXcsxRdfU0SJTvIivMAhB8k0JUSbT4pxHVkX8gC0h+BUzD
9FMeOc43qbThsDhBnt43iuPX55pMpzikutmEpw6+/c8kU/z01Bmi/aAkZRfjexAVws0hpaVuoXXa
wzBNw3SvlU4YPDqJZPcHHzzXN2OITPLY0EJ+OnOS6T6UxyH1bORc2kMv13iX651f/NPiR4udX4FE
oKdEfiLB09bKB9tJk/6AwMyou7EItN9TmmUvSdtq93irFMNRTQPRuJYVB9VdnDTyHaabcut2TgYG
ZMilf1QT6UNbqY2XcXCku6RX059d3VTf6hx3BrgPH9DOKTo/0u9SX3M+jok2xscmID89ztEQ5rKZ
xbkbTnH/m49ePcZaNynvEfk3zaOt9l36jPsVJqY97Mfaq1Rp/NRHArZRlvb9WYrHSDvqftaiy1BG
zhMyT1IF/3yImKGYU3vMbDUOL3mn+cWBlKd8SVNI0a4e1UZ7apxJTu4s09d/F6J0Ko+qUQLVFpL5
eGk3wWAVieGfKjko84Pa6l3k5U0XsAVkSdSjOyii+eBD45+9vwutepADCge3zRvD8gbZ1xIXu0FI
52KS2juzTyfnjtEEwo0CA9inSgp1ToM5fJgK33lsCl3+OIbMNu/KoE0jN+vN9DMzuHTka+pBfaxa
2w7OjaU1L9BaIHaV0Bn7H4E6DYqXOZVC5ZGMRnUOI4gBWdTUiTu1VREeQsUuB88u++xOREpZewRh
9UOrhMb0zpFE870uTOenhR+BdI8bvNzeh2FAeSEFUXE/hGZoH4M2HoD7CC1VXMgQ7VOdaClcRmjk
0nmUUNSCX+w7nzFdE8NH5KR4lWrMDud8EuSfClKI9iNioFHzPKl5Exy6lNr2yldRgdRP7VcfpTLj
rOdT+aks6mryXs8GV9ceOeeMJmJUB/xmlQ3aGUrdMMwY+FfRQUB3RIy1049pVMPNnxrz2Bdv5s/M
SxJNQBrPMl1LcplVMBsEwwDMPhuGUxthk1E2dejRn6gv1mRFXq/H406pvso65kVBF86CnQz2lkli
XhZ/RKkhBYrG/9Kpif5McbenQba68f6sMtvzAtWgvbe48XpFi7A2DqBMiCo7MAxVDlDwqw+dXuwJ
fs1Z7U16+GcpGqyz5hcKT4v7nHKHPjgyyleulT5yh67E7KROgC4isuC7Lb5AYJuK9JRoUfDtP2ya
PyMr5uJ0PxZrFxFtvKYDQoV5lnVoytaiv66LY2q1iCqIKJEOXATyy+urbrxcsItMKBmX0G9ZArey
LERvY5hVMMrIfkgxyXYrS4pfEEDda+hvLcWMhA+IHREfc9F5g/rb5mJ+udOkJ4d+RGlb0bLc67Ck
eGvDkjYwKqjoH5BzrkdOmu03ukgxuVBz5Ski872vEV7YSbpXyR/JEXCe+dA5SH2uaz4wyfks3Ibe
GkStQI77o20wi4mqXHcdSvmdWmL9Amkwy7P0AZN0urGLWmKQQ5zmWxj6QcyOaCVZu0d4dToEMJ13
XuDGs821Mi+P1Hatpmz1vgQjFn+7LKiyuyrJk2Odtu25KuTygDjJ7tx21fObm+cELipoik3gyrdp
LegKw2yjIbnqbZSOXoW2o4RTtZY+Z1I81b9VJSE3CjV1YCybhOP7XOD61IejorjjGCN9Y7C57jpr
dml+/YisoxwhHLIWZ3MWRl4GBV8Psz7UsRKWUrvByErxnxu/6z78l1VAyPOBGbwt9XwcraYdktg0
PTu19CR0tt+RsfT/vL7KegtxMGbc1iwVxuhpEWSMFqIbtwciD03o45roBy6a3uGnthP1Dux/ayn8
EQmktPSR7Vos5Sf4FSRQJ65+q8aPo0iNZz+bBuG2iRiinaOx/kazTSo9HibMAFCXABNYsJoTDCid
qmYiHwYtjE6aUu9RUzYeiftnVj3jJkJ3eNEUGc1kKujixzjqSi9Jk2eekDL1ggbpsLMb1ivhTDoj
Ihm/orSwbOr3XWV0ZY5inG4U04Nfjf+k1ohhe6S92Sh73nEwfOf7m/HVcjqvx8PUIFGaINUOibjP
6dDCZZNcNSz3YDGrgfK8FA9DMw5E8gqP0oLpkpGD5nYt0GcMutr67sA4PaWobH4tCtP8zCP3lzIK
IN9KwNB2qvU1EWX+AQAW6dUx0MbC9zbI9L1lFEXJDTS2ViXOWR6ZjqtVslMerdLPfVdjTmc917gt
/rbbUkm81mHagLWnj0RBmtho2rShabmBIhlv5nXz45itgNchAKxNMBC7crTGoFGpB7FyLSdTP9OQ
l84FBp87EW0rP6U9ojKURYSNDX37HlB2Gknr+BA478LtzZT0nZmbiTsMQEDc0GcKUDTTHiRj6/MD
GAV5Ms9LV+ziFrcA5NaRzccn3Tgis0AkHyrzrFGPn1umcp/RvJ4OyRCelXDPtml9oZHS4TBCiwyY
8SqIW9qA519JnlNJRvEZzzTJDZCydP1MSxIX9xx5p6u59Y5BM8PtAn5C/29+G3+1hvAtlH2phd8g
DMP/0oeBdMAxx3eTdsgeuzKe5r5HuZOQr8MGT/n/i5LQ3S4KOZ8QGUekWEiVnw30we+HamaSV7vK
6BsRF8gD8Mg58MIhXuwhMMBVZ8PsvfZCpRlCb/dJ9pO9S2T+K8uEfPbSmMU6Zx3N+bP+9Ra1sIMn
7fNADMjUDxjdZqemN/ID2lm64hYiM89xOHyTlGZvbrCxW9EpAmfDLQlEdlVQVSApq3EMrlWi9j8D
lK8m1qsV5voqeF0XzTCnei5zy/qljblc3yNhGu8Bgzdesgozhd74bD67ErdQeq2COp0HeICbI7jN
MDjpUrHHe9xYBSrKDCwiACmrvLKdCkGmS68/RqHg3hlEaBysuLT3dufmOrQR0Q1yZq+AxZYBkSFa
E2072NKRgp1uGjylMAJ3zsDGlgHwiCkRPX5znsncbhnFTkx1yCTponZZfmBG62DrrUz0jCr1nV3G
6iFEU/59AHLs7RkP1aH5h3EDFGN5aatGKPcR4sbXKPCRqjMk/4gyu+11wRTuRJeNV0lLlsOO+AjO
rkvYSaD1g0rwxjIX4YL39WApPyDHxTurbMQwuhj8RJb6Q86+fZVTVEWd1PnBtbDxkzwqVaD+NhLT
Qe1HpLV9grBSiksRUOvs1FYbgez/2FjMuYBILbFnad7Xha2C0mgHumVOmNReNE6lJ3IpvLw5JSYP
tgku6MqCH1qEmEFpohQcGzLyZYTdKfVDDkYxiE74G6n/4bG4EOahGrCvVT896ROkzn0rQM0w6HBW
SUPzboSDylg5yoc9g86tl8jQhXIKDDKk93kT/RU8h9pwailqomtScblb6DN5Q+Ubnh1Je4Oerf04
F6Vg9Swy1mWPxlaV1k7ViVo494NH2ovjWdKGf1//UmtYNQ7wAJnJWADVMDxaPFDh1MZgkrVdqY7K
Y6wl9TOKUViv14N2FHFbecx6cSGNJfPoR4OBMuf4ZiAMv2EWRkDPDfkdovPtSw0jq4tln8x8kLPq
kmqVctYG1NSroBl3dsvWS+V0z1p8ChfAamdKkSPHOWKqSRq2d7aIx7NI7GiHVbr5VuEhgx5jloV6
y+KJaCgyAYVBcJVLRfXCQrVOxZRNrgUN/tDJXeoNCIodCkRo3HrssufK199MXprfKmwQwPbItq2g
kNE49mkglxFU2qI4RTRAAFwWgwvoJd15q1ungjqe2AkfHuD14ryHuGCXXVPj5y4C7MK60XJrIeqX
sdlFOGwuBcsbyBy11Sp7qSwt1A045ldI9/FRRRXN00QEDzrS3gxbRV0FkCWHg+YB3JRF/2QWF9Oc
VMng2Hf1R4Az1heESRBLcMzQ3ClO5ze0SMpmOAXLMUNHR2Nxw0qcbkvPkXSR0rY/ybLcudNMwVbr
WDrLeWn/fP3cb7xG1mO5Pxi01bGXpS4OVBnNnK6cshDxYbV90CjH3gPX8nd2x8aVh3jMvNQMHF8R
dHu9HOAszJRHxuSxZ5DreSgkODnCCUnGf9CT+IzArfXx9WfcyFrgp3AjgIeBuLrsf8lGoZWIx5K5
q8V0rNUyIr7J6ZPWNzIat3HDYKqTn/I0G96etdDIRLwVwsrcqVmcB5FlEqfEQAKhHYRnBGHo4Y2Y
HkW26w+8FWrYo9ggzuKMVA+LUNOYI0peKa7iTHj1yrUiUxxLVRGnODdN2PuaWp06s7CuqgTwyitE
1Zn3laN1X9/8tufUkJYjDdX1dVVKRhSkqoS9gd/Vj6GUNAd6b8x6E/93ouLmK+Nc4wkBy+z1hTdC
OgubEGNm3fPVVsaZXhtLk6opzFTnEaq4/tiWcXR8fZWNA0Pzm4iOxhNXhz1v8r8u/jxIK+4ourcq
g5lPitwNJzUYZy2NXZHTzQf6a6lFLMArtLcE48drK0rTc5Qp9Sy52+scbZyO2ZlYpyKb9YX/cAr/
eiAQrmHZzMV0MgzZD2i7wWcV+s65JOe46HEexTAIjZy5rdnln19/mRvR7mbtxflQtbGvZUrbq55k
+RFZLovxE81ToofiRrzbnS2y5tLPfH3aMzRn5tR+iVgrqrgZGwlRKYCfQQiIIEgvcZvYX2le4QI4
dMhZuQ2QH08e/YAnd1LtwQiK6RHVwGwPBLK1l2bJAlrzaBAjlHK7l2J94utjyXfl6ker32Kq+miC
ZShdXRu6T29/11Dc4bhrBqChP/Hjr+9MI1BoDrAGdIXKl5wZ2ymMEVaG5Bh5qSLejBTiTaNUMt8r
hPrV/NJBwQh06kg3PHLKa6jrzSG2dMkLA9PY6T1u7WAqUrJGCmxrZa+thpU/hBpuuloNugK4qB8+
D1KBZnrYAXkZrIARRh2ZvvBAGiVv38NkH3PTlbCwznnAI4zCQE7wKkeTCVSn+i2PSN0Yatk9x1ac
7mzhjT2DIAt2LtyhxKDllaIMmj2mII+vfd2371GN0v+tgqH6XvZStxdRN9eamaU0lM01xMw2mAZ1
JkI6rWWIh9w3jYsCFO3SGdArX9+dW0vB9SAhNxgArG7K3JeZPSiE1bDtw3eTNEwnM8j6T7FUqefX
l9oIq+S4RG54LHTMl+lckg+mXPjMaVJhxO8FwOA7AB//4TuRlvLmVJhTG9/JZ+hc2fI8c6rC72PT
VocWwM5j3zXazgOpGweAAR/XLeUMlJjl0ZaQkIt9VB6ugz1ZEuDl0qqPeKLrzkkAsYkOWp3F3QGu
GTgrNbfMn36uI/Ab15r80v6Ps/PakdvIwvATEWAOt2THGY3CKFirG0KybOZcTPX0+1FXajbRhLwG
FgZsq7qKFU74g8SYmdSkmsFrWlr2qSsm/pNYjDbmKMrQoeObR/y9sGYLOudIIOwUhYuoVY92GP71
czoEXuwpyQG3ITZ8VBXGP/hZj+lJtUIMCBLhgtx5/BU3NgyNlSX2hwS1tN1u707QXL03FRAZkFFt
jjC65qOH4OS7uBvfPx5pa3UxjAQOiJIGidTyz3+7OBU3C7sWOXP0V3SUjcFjnt3Jzs54NFR4tBVF
YPTRhBcfFniPR954HoEJ81Hp6y8cyNUce0e0YaFXeIoNaXFMWQ+/ybLxnIpI+EWpDjsz3TgZIFxp
t5u8SPeYE3rdM6ZNYKB724yOVRXKryDrvZ1wfOvL/eKLLwX8DViEHscSDGPyFEr4eemgj6/KiDAZ
wrt7kf/WUDS/8S8CQUqev/501AmtKFIpKLR2dWiSqD3BEcn9DLL+zrda4r5V4kZXcUHBw7PiMV/W
9vddMkO6V/UQdxYzVcazLYzmq64gYhV4VZiciiktPkAzraP/cA4WLAF6YARwd73tZtQcGaUu48YA
A+FLTf8rwultHzrN6+PduLmYvDrAkogg7uoI9GUBxFpW8uQoUYrSXGQGqI2awaxVe0H21sZftiC1
bCoWd4+cGH+1P+YE7Z+5CGy4st/zMFcDy4vmN05DAeXx1H6ZIq2/Htr+BEbwqdkuq5OGl5gNthMF
IGeMra80HfS/GpCzH1RQrX9ZdRF/mvIGc57EaeMBJfZQ/7cCO/HRhVijBmrvKHNAvINHpzM05RUt
gn723Q6/vBEDVHHqU2f4PlidW9P2bCZoTpPVFIdWr6xnU5bmnpHeRoeF2gETQc+I/1uXJ3krBhPF
mPSp7N2BRrdS/KzJe39UTtoOgSlNl/pPq08HSYfoszG6ndx5lLbuEmSAlrLTwhxdn4fOcienbRyY
/dKq/jJskGVVFk07WJqtUwfqid42X25RgL49dZCExGAtyA6lnUuAikl3npLis+dNzQWwcBt42CVf
Hm+WrXNA0XXBidPBuku0JZlnF5qALwZH+QHlSHupszS+6LnodwomW8fAXfjEhGAUn9b5gYwoUBBw
gY6RqvLNVUztu9HlWYSumazejF25pzW29dR5wHF+AQ5hCK6WM/bw67CtxbE7but3HIk58BK8pmrF
NX21HsUXo1PmY56zdx8v6v2HNChmQbQE8r8BiuoMiCpVxU0tvDE/4sA8App2p6OLtWww9fhZNoUV
7+ye++kyKHk8dEiU3O4AerIhgklTPDuVUJQXXTF/jHZmBrmMdIyOcutdF1bWQcf6cqcutIGWYGRO
5iJWTc9ifTrc2TLaZMRSxKzq7CsN19zyx0RKWIjYChyhJMN3TtsM8QHhKSP3juV9Cbuuetvg6aT7
HSGsHnRDHu9dvfcCPfS9oCMsTAhjA5KF/rmukxSSz1ip8wUsRwmOCRn18GBpQ/kPBmOVBbtASd91
syh/FJEkIDKFbvwvAzQqfTqHRb7zyN1fJvwm9G0g+5JVUlG7PeZaNVVK3hNMq0UvLsaAvKndwkl8
vAfvDzZlBdBbyBNsiTM6ZUrruyLc8sLCehqUzI2DOk8U3e9Nr9hzldnafKRwIPIoRiyqW7dz6rUi
cXuFKzqLE+W5yC3V99R8OpJMqudCNeZTH1Xms4m8z06osjlPkinwyQiX3pnnQDuB+dgDtQKTAh1g
ADndNjxjiobm0uMl3ZrkoqcN5RF03129pTG6tIBJSawXxcU1hgCSBGXoKebBzZUSN7g5dL80YVc/
pxLJ1p1tc39/0nohXEHVb8HjrOPnKI3s1OQLPjXG3AVznmQfnMiJfVmN6dnUs3jnzXO2bjG6qlS3
EUdZlHluvymQpzlpqsWjejDSl0QXYwUHuC4FRIsW+XdsGYuWjwuzIpCVCzk1p2P53cm8zj06bj9V
Vygac/uKuBuMEWm4sGfjMRnfDoYU7l9DMiriSM0sLV6ko1fcij0omwP5naVcWjubwjPOw0nmd+Gs
eYfYxP7uNDVeZxyLAYwrUq5h2fmUKnoDUsHQvIz2kAq8okIb1S9dC5+LbIBqULnS/otutBv5atyU
C12mMl/Cuo/VAFzsUEPqF9Vr7iSoio6TYlRH9JeK5NhK+BG+k7fUzCLeRRwtzHxYQEgGOmMDjT+F
SScVpBtA9Fhu9bMxodtkDz8sULf6YbQmhw5nO+Qc8sSdnaDsJFayuiVaeG6dUo4HqXYCVsY0ZLZf
S2vQD3kX2u5J75NY8/NaLSbOb2zWT0qKG/ypRwy/uRDHGZ+Lslb7lwK6R31opkF9r9LhT/w+tIf4
IMWoGa+Pj8DGJiQtQL1zKQOwJ5Y981tiMNV4pOg1b2qGpZlf0GsJ5mY036b87p925AyfHo+3sQcx
QbCWEqenI8ewAkcVWiWF0iTpU171uhKY3psCRcvcD9XI+DmUavdaDG6985JuXSmLNOki6Eaner3x
ewQseJ7BFMxpZByoXWG9SAx8bkYhdiKFzaEWbxYuTXSd1oda0JFvEjsHU+DJ4sQt3QaIyoTPHQbp
j1dy48shHkMSgjDD8jIsr9JvX86CoS+LZKB5i5KF4fetnb6SadlnMbnih9Woeyj+5Q+8zUJQG6Ec
TCGTUs5dZCkcOQCMamA6F05p+UoYNdhWKtwXO9fy1szgnlMIX0icd6JYqt3b9EowD5dq2gYjPedD
rzXCp+w4kMHMe2ppW9+M/htcForcxBare3EKTcTSXayCDFXWZzyjmkOVDd1rTwP3+PijbQ6F4hep
I74YlIZuP1rEazqoZZw+2Wo/PEdooD9ptdEd59k2/8NOJAsgyTEgw2prx4hyBkqZpxOrWJbmUeky
02+iuD3GJpSFP5/VUumi/2ovJYbVrIRtT0ZcoxY9FxNag8o4pRe00sKQJBM198eDbdwgcG6R2KMG
9Et163YJE1ObUdVYnP0MNwsM6bm9D2y595GhqM8Cley31DH2wB/3KSs9Q5hIBuBZstb1vVXnFbKq
KvFQMZnJD9pSzTEztcb1W2vCP5zuRUg/xoZqBc3Vsz9HSu/tBr/3pFwwWfznqCTTtUCf8nbqjtry
7vB+PsEycyhJlY3yVvFGpFbruMnfIDbjFq8RhOUWcX/Q+QE2PvXnQlUL4osEUZqdT7FxUEHFLyZR
S4GXJvbt75m0Qh/spEIlfKpQ+0Nh0m/TSvetuM2Otgj3+BgbDbLFFgJaOZuM2ou6WgCPlwkcHiFT
rKe6L2ZvujS9dP20jp1DZjXZxXaq+mRGMjpmUqYUm/vwSboYoj7ehBt3Ic71FD8B6y9EuNUP0QZL
TQqXZzPN8/7ihFbywSvM8PR4lM35UkameUTbHDXF1cFqaXei/IxBSuoueAu38E4YV5s4vCMD0w1u
eXW8Gv4+eVDQWuinRB1AHpMC+/nxL9m4twBgUVajA8JPWc8Xvb6qctBqeJrmKTogZ8hlYmUywEV8
r9q1OWkgKywvXZCl53u7q4ouCZMCmt2TGTbG4KtV51owXfX2JzFi/Q4GZfq5SnrrYsXzmxFlfFK9
Ur92cbcn879x1SxtQqbNXQ1wfb2/dZvgRNbM2uoUuLVxPjzT3erf233Sn0nG2y9UHaa9m3tjWAQM
4JbxHMHpXJfHIiGo0FFRvWrlhCFhJd1YCwxUTE8tdKUygMmOfFBXu8g3Pv7MGyPDn6NbuNTG+LNW
KI3aiTp7EJl3NS3hnPS6LK/e6ExnxYSim6L1g7lMuafLtXGWgMwutisLM+SuGmigN+LEJYMm+Dic
wMjkR3ugxvF4ahs7GLcvWjJUJ6g9rllWANRd+oQoR6dAVw9Kk0aH1jROHRTqP78bcOmjDM1dRHFs
HU5EUsZAFbkQa1AX/mS0+nsRpfrOKBuIGiSBmc0CRmSgdYaOBaslMFVB4xWzsjEYRaO8pprbETGN
UaL4sq9t80UFOb8wouoG4dm4q6I3DYWd9M/DGj4dN5SHWASbdrVv0JYNnVAV0VNIsniqUC34PGaO
5ceO3JMW3Jj3wjoGlcwDsAQCS1L/W9xL1JuDeQPlbZeYq5ZeKGfeOU370emFbIJU8xpxrGsZfkwW
bYigTLvhnSda4+fjDbX9Q4gWeZBgl9z1Nd1miIeeG/oJjYYQM6kqCXC9NRKfQlkIg7HTTl1cz4Ge
6POhSCbd10PT/ufxr7jf1qwGSh2/GJuoHS2H6/fVaCqrxvhaufZqjb4zvwehKNdGdNgqdk7Q5oTZ
aNwQvMBsOf12rLoqzHiILOWaLUZlgRE1qeEnlYErbA564oKsgC7OVawqqe+EgxWfCitqn9BAhtf4
eNobjwRgR+ZLYRTiH5qot7+F4bxMWFZE76yLgW1Xtf0xReftbRHVw9+pYiQ4OEnzdc7b+dpXyFwf
MQc1Db+UMRpdj3/NfXB4+2PWC6OpJM8SxohequVrbDkoeo3a7Lxp0noM8llzERyCQua50fsaXbA/
vwoIhQC2cgLRT0Tc6HYxmq42+gHluycUvVFgMInwfyGjf2DeQOiXZ7X3dh6q8ISW3yJwp3hPrIVS
7twC9xf5AjUnGoJW6Cxea7c/IzXZjJHdR0+Z5YhLYdmzEsg86fqdce7DTv5s0vgFt0hrZf3tK+F4
sTJqsEnMCTKXk4LLtKr+JC079hFFUz48/rxbZ2zxE6G07Jm8yquaRYxSmjS9idutqJVDN9XTuZVD
7yM14u3wLraGWnh5gGeYHvn97RKW7hCV7sidklpK4kc09Q6RKxHoKxHn2IneN8cCkwlScPFv+SXG
+NvV4aRWWZRlFj2JNO4gAwOKtDp1Altm7bXbNoda6AEuGSlNlNUtVWYACKbYRu82V+MPiMmYnwt7
HN5i9uV9ffyxtjbhgod2FryOTTn+dgW7UMF93U5hb5nDeDTrUDk5WV7sRObu1jALOwYoKcEENZHb
YYwisqpwnMOrl/RTcnISUxUvM6T06L2wtP6vpM1yLSgcSfd5qBvxPYG5k55R1CuzIK68ygp4IOYE
DJ+XfirmqUtP0UCt2G/ErP6cWp5Ovw6nqkMcqE0yfF9Ebp5bIgt5GORM5bKL7ejfxEzb2uctwoUm
NpIpDao2d4aD6BQ4jtKxkjjQKbb8W0K0JzWwrOk99kRT6FMhyqd3TVixnVX0MEUwenpJzpi2jnOJ
XLUxgyGO7ZInNTdOaG4UDdJ2vd0eBjFN3pGcPxvwYgBL9KLq0v2catlUvMHGVyBUjSLmcTZTbBY7
PLIuuVMW4EOcOk4vMrONb3aOGYAfln0UHrNpKOTZyUelO2qiQrGzVuvcfUO4P1+iCK1Of9F+eWso
FZjoeVT6L62bF+E1Ntr2J+mtFx8Vtc5e9EY0qCyNBcI50CFFfxRgyNF9ChPUIVskDSq/U7voIwkT
+hNxhOes3+lYvfllqc2IR3UtdbNEMavv1P6TdOeh2DgHoIGWpqmqWVRAV7FLmNAO1tG/uabmmD/z
ruPmm0dAPiTV5njnfN93N8iFF2MYnmpkN7zlx/x2vsO2rYyobJMnz46SI/2EyUcvXB4KqYojCgOH
ssjREnTivYHvswiQM1QgllqaBYFy9Q70etUbrePGT6aaZV9SnBf+GrUxRYddd8UVV2HeYlFH9s58
N15h3NgsijSLHjtUndv5ukYc9k1mUuWNq+6dy6JcUJ1/N5qufE4982/amsq5nQYK8VXf7FzcGz1T
ynmUlyEGAStAF+R2dM+SmlmIPnlCRrT00Nca6jO+TNSlegEHsWvNoXpCHVLvfARJim/gjPr3veGR
TCLXmvmT1hrnJO7Hy+P7cGPLUalYGk0u79cdgNopokImrQpqqsJFk6eT/DHtp8NEU2xnd299d1wN
uXTJAnhWVhsuQX5Nl2kbo0SU2FBKZR/kXvGPakSVn/aed6RnvNeZ35oeV7CpwUhZ4E2rBzNO5yIf
XYiKMPf1ExeIdg0RJXuTKtqe4PfWUMiJkkSSnS+aCbdfOBPAzwiw2NYa7VaL3s9haLUBS+xyPj/+
aBsRDvkwneRFvnSxfrkdKhw9F3CKySOWzqHhV7kXvRn7ahC03VNxTqCGqTunZ2NI2pFLP3LxpaRg
fDtkhEsLjntuhMtYHR/xGLA+0X+KTl6MKFpmTcrOgdnYLEuTl+YFhKz70laVGiMVDCSyE0/nie6n
j2WbV9/AZduB5Jr0rXGe/8PNBDiZlV3IUtBMVzdTDhzcsSeP3DFp+qAddPudMpckz1OXB+gui2Cq
6z82b+Qraja1ajSsUIq3V4PaSBi6g01MN1kVQokRJUknCDkQzn/4hEs0QoxKTgoM7vYTalFXofQm
lauBKbVPQyMOjLRyD4uO3LlKcuX4eJduxEAUxaH0LEhi6sCr8cIsLFJHTMq1zdr6m+OWfeBm1t5G
Wf6U27bTwkSm8k43jarY+tgpySBTJ3OVa96V+nmc+zKoZOkGXdVaf37s6BDCz7HZlKT0qxM+T7PX
5x5DmXpUvYwKhI/C8L6maeMe8fbcU3XaOnK/DbcmlKZgmG36w+TusZf4cWxp59koxcGKc/0IOm2v
XL+1koDReBwtiv/OWmdMGHE3O+HkXWdTjj7CdNUTuqVm0A+K2MHqbg21sI8hOy86+Ovi1FxD49AQ
vrx2c7bMpaovZj2xij1s8se78Fcja7VB2CELAI3+7n0dpms5W5kT4wlX6uXFRmq8B1SQjleX5v3L
pIbEdWPWetkRG+v0Z2v27eiPlJ4BKvUzJ9I0ZldeRGmg5p2TPNsf1cST4hO6vaY4mvjIqAHS9GFz
KCqpWu8xTdPPbplZf6WmqMbAApvzHOel/dGppPUXaqjE7rYtc+MtRTknPPHMVz/r3CgQ1Rxc8RKS
C0U/XALP2Yf3gbNXMgEsCyZdi5ODA4Zd9UcldD2/NoHI+8j8C/dHJwehHmGxRt8SzEpmP7dG1by6
bamOQZiow9dMT8f+jBCO9YV6HI8UGQoq+UaMeJ2paFHmD043gz2YnfTfgtI5naPHH2Mj5qQMwV9L
/spDsuyL32JOadupndQoOsd6Zj/nYxYeZg2l9aVBRPJB0qwAEvknh+K7c3Y3dhxFV5hDEOyRmllf
E51GAKXixIsfhlWdRv6NQx531Htma3p9PMmtQtgCIyDERUmT8Za37bdZiloR4MwM5apg3neZyW2h
iCnZTHzNDlTyWfF5vMagjW3znVka39G+aT48/hH388XMBXw67QmTpsy68FfghNhbJZDEQtReYAPj
DcLWkZ8Mkcmdp/r+nl/Ee5YmH+LKkKVW12JRmKUT2bSqRxpDF6Jb5ZJnTf/v4wltjeIizuQyxEaV
xZJgeOqS8B1TR+1NNY/mFRVbfQ/zpd3fusgtocwD+MReALKrQEdMDVpE4KxA67n9Bw2Iy/dsmKQd
ICOXDwEQa0roKGOId2Sz4jPuAvI8J9BiE6nZ3yGvJn+nY+sBVlbjTzM2ApeR7fz58WL8Qm/cXmqU
WWk5ocJHcHtX36Rck+tuOcZPCFh3TxW1mtlX+7j4d1Dc6EJagdCgDjXwzVxGA3lvIT8VMhuPdao4
B2tw1NPg9Pa7Ibbl9fFP29h4dGuQ5qBdQ4/DWu2GuJfJhC8MQupuN5xxGGwvVoi9TWlr+eHPh4I1
AORXJ19GqOz2nLmKSxssR1ZFKL16UPMez4WyCY+5ke3KyG1sP+DoMDF4RsByrhv8JWEBiDji0QjS
9/eBEmrhV5QZs3No9ON3G/3FOuhJXiO/scL+HfCXYfBB+4jvNmUN8UZESF9MZjeYQMKo9hwm6ek/
aiBeuC+7kGV8ZFjldIojVVDaU6om85vB6D7h3pj85bbFGPsGbd7LrE9pfkijUFtKL9X0zbMA4x5U
q+/f1wsW+2DYElH1TtFQRS2KCZ0yLbJqC/KUanwX9GAo/+aV1foDb8i/01jFri8Q1rdpSMxpE+h4
h4RUo6vkYxNLbw+/s7FDFkglGTbVaFpCyz//7XpU6HhlXYyuSuEmQ6BPsjzqwLY/TEa1B91ZNtvq
mCxNeFwR6DhgDbLajL2XW0bokf7JMv2m9UZ8loolArcw2oPudup7DzbEATd61U9KMe/sz/scBj4g
BQfafYjx0MC8nagG4sDtcwrDrZGph6L1xAEachNEnoexMLwQYI3NnjTP1pQNIvzFvRXhw/WhiEan
yBTkwZ8mNXWPLf2Xq7C7BUvXj+FrGYYzoJSwCM9xXVFXaPoWiPDjc7l1hy6kpSVOpt9ADfR24kjl
jLMX6iGq1yJj33l5caUNFHr/zjg3aH97FJp6f6DxcRWgJpML5k48ipI2unJsS1N/P2ap+0WXpfWv
OVYjcorOQPFejsoecmFruWhGAN2nNrRRl2lMUFxOG14LW7oNyAnwZIhUJ8SANcUr2xdJojtwd+TU
Xmo7itXPWtKZ7s6SbVwvYKnZqcBlwFWrq5ChTFQyo6wlPDG8ORh1O39vlqL+Y0oGCRLbEcbAwlRd
Z2Qiy5wOvXblOteJOh4sxYtfpwhF0KCaq1Y/oa9df3q8FzaeUza/AzkJMs19VSTKiTGzToRXI8P1
89AqtX3uimH2juB0vI8uzf3Pj0fcuF6Aq7L/F/QNtKjV5uu0EOh5F4XXlguxIag+CoN6wZRnxU7t
7Fc9dnW9EMujKIaM6dJsWj1AVtaEWTIL5TpOtvJixl7u+CSjUg2Sepp+sOEkxgFgkUAg12UxX7NU
S36M1G7Kg1LW7Xc0+o3Gh23n/RPa6Ef7pmJrL1Y2Wu/xB5lGv9OaVAukpk4IXxaK2p3aQSmtp1mv
qZo5HRX0f7QOPZdAj8aJGCCsIw83g6l97ccEL1N9nkJgb5lef7aSjqIqSVJcYKZCKnkchmYAghD2
4gftFqSS9EkxPw2apLnU1l75XqFTevWoZ5GwCMX0XolK1GfMyzTtYA6mXb1wfU/iA50qUNZunxby
EGo5uO/BbOQHk5BbCdzSy6DhFqXSXpKsRMfeLRstPih6a2Kvhqvi2YOOmn8g9AfQo1czWhGt601W
gEeAI4Kk19Ue9+u6f9eooi2onjo0T+Nc/dzDJfnYI+vU+kqsDC9J3tQRojNcyYGcQDdWhed+NAwS
KoDbg/PWAAv2xdW6ygU4g+j0IamcxjzFdE3Buct0kodSyqnxi3ag2YW5ZdQGgnUZfBnhyOQ3ZRi7
Bze2Xe6jIsz7A3Y0aX+ADaHmCLJID4LJVOXwTvRIUX0nq8v/wZTAlwlJ1fTL481+/8Tg+QnF3YXp
hnzqOmcfWmG59P6sq0ox+SgUPfmao858UosBRcnJmk7YE+zFXRsJzuI0yq4nj4NTvH5jYkEyY1mt
fZ1RF0MlyWxMdK7MarboSQLw922jjf7JWwOvM6qTLp9Ej9s5f4awlHU7S3B/3m9/zHK1/hZOIEPE
x1Ec2P1ZER1K7AiPld3ox0ndddTbWG0wztC1qWvRYl4TLR274GCNunnVuDkD4P3qU29VcYF7pfRO
koPyIgzUxR5/440JgisliOGSWRomyxX72wRh5omkLwbjOnBtnkNbbQ5IG8DNGPeU5jdGIjEHKsD/
mOVa/jURNirlKRYyPdjtQyOs9FWosfrc9Fb89fGk7t6FX6p6AHWsBcbG+7Ca1Kgk9aBH3rXWlVfJ
sj5pY/fJ6xI0BKUR7T0KW8PpNNZ4EJjhXdtXK80KWFKKxSkeNUcZCzMgmNACLw2NwCzknv3m3Uou
nbUlMyHuBBG5FnnFKSS2QlWC0Qud4nM4iBB8lYLFaV1KZU9+4i6GWQajYIckAq/RXaEVg8DIypEV
vFpZkoSXEhyRFeSlXhwb3e76QM4NfnsD7hwRt2Scv+t6We6IxW0tMPHeLxakxcO7+p5Spx2Bralz
dWlbv0Sz6eTnAbRpQ2yfl881V+hOZPFL2+fm9WXahDMGGvtknHcpmcntXQDs8a5x5trdpdG6XB4M
emgQg6EpDICq8AwptcSCA+f1pXHQxBD+7MpRvwqnh7wcu1n0uU7iEXxD3WUd1Ppc7NW87kI7fiYF
GNq6IGSp9a+Or+JKnh8FI9gGGOMnHdXmf5zB+GMF8mUUpA+higH9JOq+PU+eDlsNnw38Xstm+lYX
sw3GaqbHH6GQ9Pnx2d2a0UITA9JH+eHuMFWGN4aSfsYVtZPpSEzcPyd1oh8ej7J1hBA68eDbLDJD
6yNEdFcUJCvs6nTMggwvnDP11doPPWqqj4faOkAk9eBCoK3wkq7iOHvscFwEwH7ttFKNfMcajK81
7/aHvi/Cv3JQCTF2R1FL6BpOIPhs2ibzTgawdYAA6qE8ttD4mfTtB9QwtcIoa3avM/jAxQ6UsgFk
sG5IKeSWinrFjHRv3hsfklIap5aUwFwUv2/HnBE1JzTX7SspjXsoy6K5GIj+Xx+v7i/I5eqgkmER
p3A5cSGu22pmq7lKqmL2FkGwqrtDJbuxPRJfpB8LBAXEMSWRdQ9a13QC6ygbCU88t/L2PQqmQGhk
YlVNgAOKYn1rMUZ634cYofhAxKMoUDUp5rcesjjx29CJq6+isoTyLHuEsYLZc6Kfg2kWxNhKKU/I
7XpdoFrYg5mhgslWj38FZledZuTXeqzCL6J00p9un2UfccE23APKPrN70U18goKxbYZvqjODMZnM
cfx7FGa1h27f2PSLADLQj0XQgZrB7RdRx8F1shHjMsdt27OmRt2pHAzlVImsPD3+LHfBDPUQWnO8
8qga8jCuhirzOW5tBRPumVg7AAzi+Z0ZpwdIIfJs6QUpEzJix8eD3hcul1GpWNLrpB9/h8KghJvV
FrKJVyR6lBN5eUk6QP/mY6Vp2lNCKBkFJT29l2lorHeyy4oXhYLGO2Fn6dUePDgkwtTtbx5yvPFO
PrdxHCxWHb0aaPz8utU1wMNlybSmFqArdvV3qFjywxxNzX9Zd9IJOCo6CfE6eE6NzhFJ43pXpUKj
LkUgqArCPDbbNw6Ehv6aKl31d5NmCIo/XvuNW45QZHkgSAgW8vTt3mr1vK3bdAivAJNp9XjCO8jJ
C4PZTsvjmFbqk5hy7yi0aHrFqPePUbB8ecoPBJdscPNuv+HLO2co63sEl1Z/rYWXBEqaF5e87WvU
rLT8TesV/bHrR/1U55a+06XYmj2APPoxHiEZhMjb2c+aneZakxABum77ZZFzeGcZlcrSO6j1aV15
aLS880kgx2By1F109Mb9jiUkz9kiCsMvWE7+b1E8853dsMzDq7mwd5HL68r3qZun2kH0Un8/SV0p
yRDb5p9UjjEbL3P+11ix+QyiY9QQTZbGdBE0Mr+FoUmQUppJ9H6CHV3vbJOtK8iDc77w+n+JAt3+
0LnNMLgeCF3LpG2+TXrqABZIZ/Lw0YjGnUd+48iBdYPcTtdxyWFXR86JpklpI9IAHVQrnVJh/WtP
av+/xzt/Y+3JnwAIANOlWLNe+zLWclVRKh6gTNoXlLe0z/EsxEkNTUUNRPPH9C+IvfTDFkQHirt3
0X9miLYe29i7jlkZnjuExNOjU/RtsZMZ3stdMBAYU0MHvEVr4pdN52+bSupIcYQpgUupCVwzcm22
XWoQvfENTy2l+uiF8/Cj003EcXkIxHc9T0wcXDyT2rNTJvVT6tTJ8Ocb6OZH6bcbCF9PB6fLxsUs
s51PaMWHH3QMg4+NGsqdwO2+ErEsAGgFXjLQUAQXt2M1Rum0Va2618kM+/MYg3tKIOf6TuXVl4Lb
JoBoYfgcmQRn0okiVV/m2c4m3jgxXGwmVf6lKsLDdvsj6rSRmVJ3RPg8ty+mrcBHa6vwCdXePTe/
raEWthkdSnSI78L8spftbBXsrMoU0b+dGPojVuXii2NXnx6fmY2TycYFq78QyLmxV+GBZlFJS8DO
XTurM49FGFWvsoudHS2ZjZPJGAsgEuzyfXlYujQurZaoFykq+UWNRXoZ8Wt6n7DUUZB5vf3j8bQ2
noGFgrTw/HkKKUnffiuRFsKJ1NK9Vh0wZd8Zm+RbPjnp9DXWCiBXZuXF32Wb969TDkU3GNBQ3Tsg
W7t2IcXi6IMQALp8qx+BaLPTNeXoXFH+HL/RmwvPLebEne8ORpn6ISlA7EPmKyUNibZ9BiMgn2YX
q5Od83OHxyDRWEpLvMdLl2p9/c4yRPuqV62rF1P+jHrX8DVrzI6phspxUefiw9xLJbCQEtp5jn+9
t6ukALYEZ3bRN0EhcHVoHCx3nDFq7Kvr1I48mlNnnho8Ul1fH3RjeIPIZd36BmIQl8ozwk+xcMJP
qefIt3OXhXtHeCMYxqtmQSRziSzkxtttEZJixXkeWle9aDuMjvg+/gjx4WAji3LS6rY+ukUrvz/e
jBtnDIlEByVBgMH3BGkudEDyTWFfi97+1simfIaLEO9UZjauDBSlwTzDicZyaN0DJa3MIXgzNZFg
cV+oU4Nu+NzPP/Crs5vj4xltDgZIg+4LAG+MVlbrmEaLw/ZMPTotqmuJdMvTYhB78LrR/PNonQo0
OE1a2ku/Z/XJWrWww9yerCtVHNAZRS1Os2plOydkc58StMIm51lEpHAVNU9qYYzhnFpXaU5NdnTV
skD5p8jT17DRUhE0Ukvf9EmVZgGOkPHbvgba5JfTiCNyqRYoMv/5CkP3XvxG6Z7ftbQ9p+q6fM7Y
qXoVPw8Ulip/hHeXHdTBNfudp21rh8JeAV4B4O2+tEit0pyk29lXhfZeIOglBfgA5zsp0daugXQL
4BZiMU/p6lOauAwNZcUotPEh6xnWGGRmM59A3/T/YfkgqPOeLbgopC5vNyhShrVVlwwFHyDzc2+c
rl46eYcwarWdobbWjq3JDfoLNL2OOuOkVWQNQfSqOkrxNDAeSMdpz7Jt4zFBb2Up/tEfwKFxXTLw
KJW48ME5cknh/RRYaYdBKIUYfWnPSB1rQFN/EiPZaBwVMsesuyqzg2GOFLUeb837x5xfsoD7FhlZ
ou3V2nYRHXM30ayrA4jqZciyAWSlsKMBk2ineKPPQt/LH7aGXOBPy0lY6kurnWODWE0iQsSrDlPt
Am9pUYSBcnWKsAB7mox+r5p7v1UpDwBL56P+smVYPd0U0YfCcBPnCoFgOKRFG52oJ1nHsgVR+Hg5
N4eiIIFw3FI8XneXjUk1QEha9jVX7ALWtIpnG5Klp6ZL1R2K6LJMt48xs6LnQzTtEMOuhSSIwGg0
Y6h2NerWOarhNJxmMXzXksk8ZqlDSTR2Q6SzGgwa5nQfdLfQ4e7GJ/9b+P22DZr79lSqqaHEwH+c
64QzERiIqP2IY5b2rA4hXsCNNp6l0Va9n+G8lPhGGY9vka3ZwypsLTh3HdUwICv3aeIAVS61zMi5
qp1WnHTIFYFpzPlF0+nXP/62G3WwBVzI1+VtWTiqy2/5PXOrQBjD+bavgK4RUEUATP87T+OZpMVV
PuUgGM6KVXgf23ayr9NUYnffQ9N8I//P3nk1N46lafqvVNQ9auDNxvRcACApSpRXyt0gpJQE7w/s
r98H2TU7KVIhbu31RnVXpUJJHphjPvOaTB7OGlurN13cJzdWl44f31+abqmHb4PpjYAMcoIID++v
Yz2xuXUwn9sgDZ3+hfCr0q8HI1MkT5M0q17rs4mCmYVombqD1SNASk/SNLmLwpqyHiMMPCu3MGrk
uuIUNKB5XVVS0VY7I9WN9IqIv41Xdc7Xu30zlrHbW2n9AZbNLt+nwhThulZAsO6EXCTqrnbo7t4Z
MRmB22Hsbp+qZR8CF5rkcn6KMqctPLPV0Y2TDGfCTsfUwuQF0E89+L02ddpGsrRcORG2IjTPqQJT
99D37oIPC5utHMTBiBibRyc7TM7bfmiQKIWePvo9mvEcR3rZvWRmlKRrEPlguKIcYTovlNAX8Qq7
y4VPfEtPokVed7qMErWncC85bea2TVKfdlM8BG4MJ2F0kfFHwA45JPXKjks6KE1bIz6TppOSe6oW
t8SewKNtkEZj/9oYZW96sRp1kS/XHZ9s4iC6Qjqv7k7TuFaCkzCoZXWFix247TZ0hvY+7bRcNX2L
4rj1Mg+NEq4LvbWCVaUB7F6NdjxhDQGGds4egGfY1W5MYqU4GxJjKtdNRkrwOpT5KHvA283eK0ZV
L1dx0SEQVSL72VzLWSVl6IzO03NTG4Xuw/TIbgUq9NIrvt3lRVimmuzDqi+MYdvOrVIJtzNDWT/P
JrxqvFrXxt3CjQJN0Qvj1epUI7hSzJZqNwp39YNh1n3qIy8MeEwRESgsmNWq7KKUhuovuiNyj+FV
oN5D64/eFa1ziLjUcdzlNWTNjVkxfW4g4OYvtDis2qVan0Yu8jDK4xSoUnsJWWtU3EbBpXtHn0e7
MHpzHlCL0pO3DvnS6j4Ks2zaUG8eduhGlfnVzJEQreLQUBM36dOpdYVhjqeY5PTBepjL/h4pGNXx
J1UabpTAMM5kOZXunYl/0CyeJs7g2Mq9boqCp5K0znDlJkh7fxDTjCKCoxSW43axFc0eNJPyJaeX
G3q6XmlXDUWO/sxEfg9Bw4l7dLW80yav0mqstyL2lx/WUIgX0dqd6jt5QudCBq/TnaVBk2ubVIq1
7iTuu+IdqlU1+AVm4a+506W1mzpGo7kV6eh6Fmb8EiMb8pxb+Ni6ppwhoRVKg/MjbiNZoe+VKp0b
9t14LVUSsWCSVHHrOgbNOberzVhZ6wA7nTUyh3i+SKTh/hgE9Fij3lLI8eK82Ao8yqeTVMurgIvU
4/MEx9c3MdhK7StKNf7owsmMfBx67CsT/bii981m1KzrUQly3dPioDPWdNehKzR6FQmys06RH7QW
Yb1tlplhedbAiAgkrzGFNfkatGmAfZEB0qqoFjxio1vk10MbOQGSGINB5NdpmnRj6VVunVFvEz9y
QZ/vxZ7SDEPPtguic6VJFPN+TKb0hGAVOH1cRi1I3TobB3E2pqEWXFpqHDfniVFZpYfCpHNGp1wk
q1BypvPKkcfXPpmpgUEcwHQgUWr9uopSIV/NyDQ5bIVow7CTZvpPhRZI6sFXdcZTzW71fkMjst2N
FAJMN8NJK3RLdF9QkQTKLa7iZARJGfQ1jogzJBE30JQe5FmTFA8DXo0QHvRuHqCXU5u76qo2u5DQ
dQ9O+qBK+1VHRSlk0uWTgfxbXN5UZaGAO554YrUx17dtnZbDvRJ1QbYK2V4u504kFnQXSX42K7u+
RFBX6MhbtrICt7sUsFopS00u6taz5dpCWFcWwmg6fB+UyXZKhcrGNQw+8Tg3EutDC+3mvDGZ2+uI
8wCwaJPanmzC0/FQA68nz9Rw3/ILZA2nB+yv0mkdasDZzspZifGBCce4fIikVigbHYb6bdRNhbXm
3drOBYf91Hm4nfWXVVCGowcmcBjOq8kCioYqjCV8LW7mFKkIFADdLJ7a3NVrOco8q8z6ep2lqhmu
q4JwmiNO6bKVpiKIT0CilGsjx93Mi8Me9FefqsbPTh+F4hadmiEATxbnUshj8k7YhrnWlJU3I8iX
V0Xq4nfLarSrLEc7BjpjkbzFbTO8yallJn7Vh63lDjALZH/oJv2WSnkCMlWZZUgyzL8HDuQ2952u
nJ4cpQ5ue3Nsz8qxmD5G2xzpGmdT96Mn72afKEYhXNwP64dBnTNMczNpbtZZrhQ/LK2tnqpAiW+p
JUcY3qRZtUL5UsEQI+7tZyOlZozBbRGnfoF0z4dp0xc4DeSoL7dKV5SRP/SRfFnaUlpv0XeOL+bO
HkwvBVEeuKLHZ85DUCr6gfB2ZZGUMKu9RLbyaiuAfyY+fW9z2onSNB4iIEEB5hCdJbuIeI8fg03H
BiUtjKNsyITnDQLIums0BirDmWmEOz0rqtSF1RKh0z6Jxg/6lv3MSK2ZUrAQLa8MeOB1Tr+FLqcI
x9mTiiT+OVfBrK9IKvAS0oXePvdhqVQP42jn9/QWBwkqUokoT2FE7LQ4K0nWtpuqaGvjNFGyb2jO
89BP1U8dFxt9xVaUy09TP9bGOmgCBa+GaJL1lair4kK18uZJQ32PQ35QxXknNeoj9QQxe4bWdqOr
9eQvbqnyfZuqnGLTr9sR2IsrsrmyTy240hrcsLZv3LTJYmQhkH1D1Nwsi+thDkeD0needV7QysGW
UNJ6NEn2Uo8SW3BnFwjZevZUt80VIaTK+ZLFFaxdJ3FKf5Kk+Wdh9bLhlh0mK34DRIHc0TIn7XQU
qp34cPUnZTVK2Shv1N5oTlpFWIYvlUkf7TLVmm+avqz1DR6SzHFgT+N9k4Gn9DqhWp0X2U6a8UZq
Eu60AZoLFMnALI94obrAyG2eTgzUQ8n5w2D+IcKIu3TA1d7kZTwonm4OaCeOk5ZLEZzcYDbfCtHW
zcP3Ye9hKRSsyVIfQ+Zz0WfdS177ntWgR6myza1c36ZS0g2+kFPAjNpECuSGchCetUhC75LOUuoj
CdgXqQcyUQhkEWWCUNtP4mGLyxknmrJ1MmcJ0sL4CjZw7lZmckyb5IuhAC9S60UhnW7Yfq7Hhpxn
kmAvRrh68EPiKM8KgvZkEtU/VvzhhhDEp6ijK1SX9zPYUpPDMhpqY1u0mrEK0FZfh0MeXn//5r6o
ASyCahRuVapUB53dUuSd3JWDsQVDLM0uRJjqfmRPutWCoVmbSAf//H7Ar54gwFbSN4jiEKr3stVe
b8p8yBwAmcSVK6UX6m4oLJS8svSYrugXs3IRdIfPgXUBLlZ79dSxhyiI7aDO1lMq9WpGU3oVVFNQ
nIhAajeo8dn4HImh4GyslOiYE8fho13aE8uMpDKAdsPeneZpGxdhWQIIFaG+tuQ4OFMzsLW608s+
YnrTkZou6e8XuScmyFQDUUIBNLe3DHPC/Lm3VRWJwUh6qRA4DPBu4Cpcc260zGuaTk49UfR975m5
Lc9u2rbtrg40GVxWgQvgagqh3eJigjk0153YL2qLB5Kb0ONIXD2U+9pvZM5UjgqtxIqolp2XSWtm
9NkWiSo/s9IQQ1tdFQ962Evjw1DUaupVemE89nKqs1FJcQqwea5MhJsDgjYZVfEEB/YcRs3ciIq4
qUdUhmSgiqVVqjoiOOVbgvms0pednsheafyoojOTIoI72JcBuJPppq0tO15JfV7Zm7HOoqumkif9
uVG0UcPISkUnnYBSCb2Kgh+KMBEHXOhnlSPlrgxBLdiYYTOQHAVKe+M4bbnoSy9uWRdJrnTjCVAL
FYGPuBhps9S5ZHqyLILO12MNQU07kSVlQxl5TP1eCg1zHTujUvgEQUWHUItZlyf1aBFyh6qaVBe9
qSDkAZuhTn5Y6MxJro3GanwGb7muVlalV4gOYROONZcG/eOHTgp/OY9g7L3EFFrnVV0yz16ooSDv
mi34Bmo+k3w15nafnQPnNm5nw0lKL3Jgra76KFTyleKEJXbfCL8DKqc5oJ9UfTm/jOOs3Aco+3AU
51UV7iTFaguX/hZnj56XOboqcR43G3B89VXnLNAtFElyhzhJHZe/iBLjSsUKB44nxe7InQJptukC
hpW0En0TC89CMopaRWckrVdUTnstaXbOycA5JtaSqHkGXlpO2l1RmVkXurljDsIVaZfVF3kQ181H
MjfFgynHJumDoU/2WazY4Q4ZUWwjyaXSzgO5E5zWTYrNq1NINgqUcla2u3xQW+NkkkwSF6ja+b1T
ZLUJjUM1WAeAAB76oTNPq2pUnU07KQnk6jycTkVmNKVbxUbQb4Y8UWZfmHb22MWw/hAi7PXIzcZU
u+2MynkizUluR6dWz0IakZLXRUae7SoblKzblIXknMCQ784zfYJuOaSzlZwgl98GXpvSKFiLLCFw
yAEjlz6em13lslRl9JZq1b5IIzSNACUXaIm1dVhUntnn5Yuu45bHEsycn3qYRwPrZq70FcGWTD8y
DKGnoEugzJ4KEcZANbHsbzq50NOdnCHRAI9xCh70PJ9zVPjt+JEY0co8MzPmO4ey+Ec/1/K8qsNs
vEvnseo2EnRzgSy5tnxnMsbpOm168yacxcLYkC1BIagwiouqz+qSxqehvZECzNL5NDjd7VCg7Or2
UJzlVWbHdQqNZ7KsTWB3MeWeHGuKdQlW413KzGqC4QJQ0O21XMsxFTCmGyTv6sKLqDGqroaNQb51
qqLZxG3uOJ5Akbv05MkJZY8QPi/OxhigGrpbcszL6gTE49nptNKNJC1YxWkVOK4smXW6JqPTyO5w
k+alSsZaG6KO7oYSjGed2neJR+NhzGEEV7S0rVIMd33c2LQ4HbW9S5rSUn1gBabpKQbZF52nDOdm
TKMewzbU1Y1Rh6MfJH2F/BhdnMgTYStv00Yb+1XeNFLnpRPopu2ohrgRKH2QXJFzm8+52kXNkSPi
sKuCqB/ceirVQLk4JT4XTjMFljnCLNp2XkootIJbX+1D51h9dvmazxVphgGwxaFH7f1ACkaxCpKS
OtG3IGO7xB2Mtr10iqRoWM9D8U5Xvbic2sLYpBHioq5jJpW5cEhVpBO15On7gOMwCgA8i5ipjOQf
oen+PdszBtMWNZAtFkflzgnITyVV7U6p+1nXlPgSdBSdzrX1PN18P/JXAQCQuV+Iky86cyKrW9Vq
W23bNqp9PXajQo4x5Wu9s4uLQQmkIz2zL+908YAGpoWK6H5opUeoGw5VrW2XUM8tHVH6dq3F6ywo
nwMnNx9JkXJqlU2//v5GD2M6pNMJ6BagOVSb/QBcSnpIiZqpbs0snJHAMjp/VFObqpY8HRnqMMRh
KMpXCKDB28Cu8PMMprSRJokRalvgDrOf5W14LtjMLhHnTtapRsuzNy3T+/7+vlg2i9Uk0Sp1fSD7
y4P/rd/Qm1NbdnMib4Ve11unC34ak3zMvuCL2QINhceHDSPuS/t93KqPyhiBfXk7KsKsPbsb8lds
dsU5Wu9OvWrt2DjCaP3itTFboO7wfzBE+5jW2OwQQA+1eTul7KCyEcXIKBXxupPs/Ahi5bBHthg3
g9RwiIMp9u69NqwX1b40OmWLN8i8mhtTfV2kxTZw2vTTBkUGj/yuQXygI8tHPvXIjvTFs0UmykT9
AtUH8BV7w8dRmlkZ7ZptjwrcqumB8KZmEhCWzonXDfr/w4IAl7KE4b8EN/bxOXlKJywX8rzt1Ub2
qjktkYGM+61h9NkRENihOB7gASbnAr3hAbOtf56cjWEOhdGZ8jYPSla2LFntyyJfX7vKEDU/nQyv
HISxtKJyk8SREo+UbxQwRRvlohN1CtXRkntskken+MfJJZdGVolw4NJi338Mei1asyP2Qpo0Nm4a
TZtelX5MUn+wK/1npVA4ObJSv9ge2OnBRSF8hsPJfmewzmD5mVYKKQO0xbaX29GfZg1DRqPqThfz
Q6+Dtvr97nC4jKhsLiSyJc8zUMr7/AJKpxgVY561rRGUYqUMBT2lgTaDgyjgPx+KkUAWU23ByXh/
hwdHacZBxomiFEZAd23osg1qMea0SjuEAo48zMNtjy0P6hvZOhsTvLTPN4auOkZwkq1u5x48PbVD
83wWunFkazh8ZaDYwKDCQQNoBZjt8ygJppx1VocyskZyfN4YxLixmps7Y4JO3Mty5U1aprx8/86+
ujUIf2AIMe1Ca3ZvUHQkA0uPZXmLQWB+1up1ui2d7pho3Fe3xuoEo0iFZQF2fb41GxqNquMauYVE
ZF+qwBxoson2Kk1D/a6uHTlwpwik6pE44Kth2eQA6DBDLCw9Pg8r2HriOe7kraJV8rUUJwjWZEa8
7mmC6Z6SQk8gOkj6+si4X6BpIKXwQFkMiJMxaT4PzERS9R4e05bytbVQYBo6s1ljzw8o6oOpqYfG
CPyWEHRdxSOyYIrIcz8tWuuYncvhmuRKIOfQn1+86PfPG0nAP1Hymgh0mtN1QEF7q8qtsVLq9hiG
6IuhECqhSrdEBodHW2EJEedLe0avq4sgtsVFqggUSwpJXf3TSfvrSDFBYGEeyNHy+fFCN2vLFiOT
rUpfoPalwKAfZpS5cmRFHi4OSLeLhewCamGz2Zu26hhlcY6xy9YYk3IH1r/wp16Vj+xlX0SrBAMQ
ISG1gWDdvxtqmYVkVLq8NUcOAtg00GvW45Qk6tpO6qr3DNElrxMVNFrJbZEeW5y/4JR7WQrWOkt1
UGUfOJgjkDP0LjQnhaiOMqTbIpcMeyUtyPnpPGYVGe00yC6QdPUGAQva5PBE9Z9oxDmPjllpP+V0
HB4DbNGx5qHXetHVlOy9MVrkxAe6l8+pNqj9i6p01JMa2veu3AGj3WoIHFxqJEQvaWQbT5UaR7WP
0brUelZrdc+NkcxnWpsKCe06OB5+NVGxObJYvwiJAO0uB9YiZHxgf2MkdtmmgP22GsYG1NpGxMml
kL4vqbYHz6w7+X7y7i8TKGH20iCQeekL/Gv5/W8xdJtramGbkPO6PmponNGp16Ws8qQ8qrZHhlL5
rt/f7C9+LdBgAISg1Nl0Po+FoFhuU5Qc2YcSOn4tBb2LTLJG9WJOAdJ7TjOKMxQXMCuQwjh6Aj05
dKdwx1DTE7S8VS8ZyqZ8TPRgsi5qIMBeAxb5ZQwwg39rjMzZyYNo5dG168g0KRQNBgKGvaGkPsIV
RnTZRqNBl7yputIbF08tL8zMIIRebslP8+TMuBeiGirWYyajjKpWdTP6UmtmrSctbCsXfzEo1fLc
1OFJN8rjgyGpESjZ3OSGRG7boR8lQ1VcDcPQro1R9NOFHuQULlqkXZ0TfXBi7apWw4TjNOxTNE4I
SqstJb043JTUQ8wTcDkTbn02Zd4f37+B/ROIF8A5oNCLwZ32kB6JpEomsQ66bWxXNoIPqKtttCDo
srOebnt/QpVRfXTKaAyPMYEPziCGXpDoC7WdCAlw2Od3j1mKqkuS2W81uwlTz44qXJSioQyf5TK1
ei/CMUQ6NQWK0ltFSMo9qxNF8zybQcf/46dAoMbSkmnlAGVdluBvU97qElDwVNu3bRv0fomEgpso
ifnT0UEwmFVeebrVhkc27183uDf5aeeAjAMjB7Z7HzmLUQCFvqrstgO4uJ6U3HQulZw6HCJvA6Jm
iT5S/Y2moJTP8zGEOFGHtTB9KalaMDpKmByTBdxf+hZ6Qst5Qj+LIIh/f34OUREnMWqV01YvSucy
7KRka8uD5s91mx7Z1faPLobiaS8TgAxAPcDzZrBGSXaHmZZPl5zoIs9OK+B2m+9f7FejoBcDrB19
LuS/9+oBeerMgaT28nbOutyP5hS2cZMd45d8MZU16la/vHh4eAcgfQORp8FO2aJjDNAXZXEZXUC7
XVl1p/hquljTQ68p4/rMkWrzQimK4cimfbiOuQJqZlQL0cegw/v5zZVDC05Hn+RtN2TBCQi7+KSG
gLuOrcDaplozeaUZzkcCg4OMdnmJ1FlYwaidkj7uxTlaj8BdNiCuiI0leBw1sLClleA0R+uuGOVt
X6W1To+C8q6iTi1SfLpcn4GviwQqf/RiIiuULHCR6KQcubYDOv6va0NZAVIDZ8vBMZaFDlodkZi3
mZKpZ2UymEvzyK5frRmXGkAsfT6iDkejxm+XJgUYIGcutnLf6JEHxDosPFCgSEJN1VDELlymXD1p
BNGFJwmsMl0Tka/G0wR5iRdEg/mgaa05uk2F9IzfqXV7ZZJUj54MaOMJT+G2Qle77mmYUMl/GVj9
l2MeJY0bLOGL24g6L1w5lIcPbCxiap/CSmLXELQH3Axc/ZWOiv2T3InqmHHVfoC3PCp4AijG8JoO
xUB1swpiR7TztjGU4EI2CmuXJyEuGvqcOm8FKLwPPIy7Zm2VjXn3/Qr9Yhek7EwNBjkASq8HsTIM
MrVl/cxbwLpxubIm1fhIQ7QpXD3NrXEBVwWXddIlmdeyORb+EjQ8ZGLEu0HRBdXx7y9oyZU/78qa
ikIFtdklACI3+7ySJIgEuiOEvK3ysozXNWoOPXJY+LEpGsLRrohSekEKCK/cn3QtBq3LJDqS9X6x
EaM/T8DN5kVdfv9oGHWpCIOpGbZV2SRAGORpJUtpcEvgVx3ZIr/YOVD8JP6imE9wvE/r1NsgILif
x+1MT+ayFimt5byuvCGs5NOCnd/P0yT790P+j5/j/wrfy6t/P8/2v/6Tn3+W1dTErLS9H//rPP4J
DKb8EP+5fOz//LXPH/qvy/69EV3z/sf5S9X+wbbx9iListj/zKevYKS/r8R/ES+fflgVIhbTdffe
TDfvbZeJX8Nxzcvf/L/95R/vv77lbqre//Xnz7IrxPJtIZf159+/2r79688liviP37/+799dvOR8
bN28Fz+jP8CvvxRMjn9/439/7P2lFf/6UzKUvxY2Emxbii3AdXSOt+H937/S/4KHS53U1gCFaKhM
/PlHUTYi+tefxl8WSSfMH/Jp2HYw1P78g6r38iv1L+S1wNmRRhBx/NK0+e8L/PTO/ucd/lF0+VVJ
R6fl08bn1ITNwiJ6gZBDNWjROdeW8P63uKkWipoCqTUITIIeGII0q8KbdLsCz9imve5OVFVbECPG
mEFYqYcnrYl0GMwipeOBVObslSNYOl/MNSIFVYkpuBtqYbgBKqToa6oX6TpOhMhXwpiHk1Kotb4i
CkQUPE5NaaC3HiJHjMtv6oomCi+bVmLRUikLazesUMz1ArWKQDcp88yuDAZ5W2KW9uHgyXvfVzkt
xySohHEyW4E+en2Tl/WKBmcgb/SplapNk3RzCnEhCsZb+kLm6dD27ejx8JsnphpYFCWxzeu6HLVr
M+RQOcmnMnlLpam+SWUnBbUY9gNo4og2oypoe7Rjn0gXVjGMJ4Os1UA2onp6z9VSVv3CLq2fXalG
j8gl2DeGluUwVEtrVnd6oEiaB8B+DrySE+sH3WTQs0huI94OEjh/U9TAzO/lkN73PSJRAI0DScfu
xFZ67Q4wL0qDoWUhliTPBoyhIO8xZxLmSK+3o+eOtzxnfXwl5yGg49RJ8wEGoNbxFqMeYIaddFJ9
jqZtnvOs07nZdPjqUD2NwvqU6nL9RhVSjmntakm9bqzJpouYZBrVz6BRp1XlzOVF3sEZd6EGtx1G
0xrl7a7K5vw0VoJhAb90NZ30HG75JnCM9LKo+pbXqZo5TvA5CD8PBrV4i5xRbXZdGkqomKBy+zjJ
kv1SqIP+ZkYFfUM6S9O9nkjhA0SShLuxUf1ZqZVudu5IKT0EWk4VEYTJ0HIuVxC+znUUEt/Doi7y
y7RudWWNhxrZAjC+MfkhwMTpvhgLIyMR1ubRVTuerVuYcXquRGiLuDFpDkCGrOrMG8uCS7t0reUt
iVeo+MVoEWiAzq1ykDdYUN812GBwsgAFGUa3rlhnXg+m6xEh+1x3wyYcX6E+olAM2jJu/SCemse8
HhV/rBso3U1u2tdlFJfSWus5Ea8VzIQaFMDKAeeGTB8+GhE48WnWJlH0wgYmbBZBoFlneSvD/cgn
tBR8Yto2cSGzmsG6AOSPPVRL0Obl81iYxB5Z0rlKFglg2xaag17d1lQC0iQMk82MW8qjjI7Re11Y
FhaTplUpropOKi0KTRty3pVWnoxGWFyLudHHtQY0ltmUMt/92NJn4QPw0e1VNRa25scJaDZf6h39
Q0rDqmKWCAl8fWKr7c7so+LFQjuJXF3Xmtt00JB4wPlKJTeTMnv2CtAu9XkXlWJcqaDuFV8KZUQL
+3JpIcO/qdwccPJaUSs5PhkBF29GMOzgkzK5v57LOnisorBZ6irCvsjlNmh8dj5xlzV5BAJZ1dI7
JDxSNGXU0XoIc9m5qehoXsmTBBoe4RKPylBX+lxO1PlEMyUIrDwHI1xHXdmxaMEKsEPGD8Ra40sA
ksPe2k4XZh47dZ272hgTp0MzKS4HG63glTmorM2wSIarKasUzQXdFOhePqUpkWJDS8cDBuEETFF4
Bb6tpoSbcVJYJ+FsIsSP2nA7nmZBN/a+DROIWY/xQoZccm/9nc7//xP9t6OZNPW7I/3+vXifu/fs
03H+6zP/fZ47f9HFpcfAEbwIV2v/c55b2l/UNXUUCtgPltYUv/r7PFeMv0iT+Z5ffFN0jQjf/z7P
5b8Wa10+g97O4vwBKfXPf3Sgf4p9US9GaBC5CIf2L5UQsoHP57lckCVL5RT495ezm7tvz7F7FbuX
oXsRuRdX75sfpx+Pb6e3vz2kv8OK38MI/TMt8nDUvYgbednAgKsQ+M+1e39duneIy7uP/PD6vgvd
cfn5fbN6eni5OLu/2L38+Lj9cfZ2PbjHruPIze/VCuQc+ds55ebL8l6RX5vo+vv7dPaipYOnu2Qe
v0VLoKQEODbus3Qf768R1nef7x/vz17fY/74yP+ec3d2714vb7aXz3fb0N3euFfbm5vt7uLmZudd
rHabm+3m5uZ0+dPq9HR19nx7sfNOb0+9p9sL7/b27PLaO/04u704vfbPzj6OXL+xRHP/kxkdvCdz
z+0RO7/SkpBX98+fzx+vT0/Ony+fzx4fN5u7s/PH0F3tbnarzeludXNzeXO5vlwu8fT69vrsdnVx
eqTc8Quo8t21KJ+fZYn8TdUiWcCzfF2mDc/y9fXu/Sp070qe5uzevN/FPMvYjfljufx78373zuO9
G5fZ/MDffKjcq6fI/Xh5uvh4e3q5jtzTl2tm19PVB7Pr+vbj/uOtdEP+ub/+uEcr2X283u2eXt7O
Pm4j9/rtyPPVPmdih893L5rGbIEE3eCe/PW5f3LuL/9du+5qu15vPNdzVx4/uCf+if/9xNzrrxwO
vFc8QmN7zOJgxCLg1zS8fvs4e73Mud9Xsh735oJnVbi7p9P7l6uXiyNvcllV371I9r3fF4UY9DC1
J25aMk9q8yGWn8P0KsbMWFSdW8r339/qr074/nCUnGljISBKiWnvGRup3GVhmgT+XNXn8bDrWu0k
t0Ev6h+1la8GLX0mmY8lbVX0N3r/gKoivzuV5pcp/TGMd2F3F2rxkfKz+jnd//cLoA5q0AQlLztQ
xUyzuZCxXFlm891rye53E7uvr1cvu6uXp6uLt1vZvX87tpz3ipaHg+49ijlqapuwamnzSjBtHixi
glQ5G6db2wEJS3RY2GeKOIKCObhVTAMX4Bslp+VIO3AXk9QO3xa0Uso6bH1LiWfyjnwIfZj488/v
3/b+WOAFEPw0aS+hnUU9e29uNf0gmlKENoVfqz9vh0nD0mRQbxpQTv/I6guLr2UokvWFP6Aig7u3
t5exFstOn9h+Vov51pjxGPDQpUWHguzmx/e3tVz273N4GWsRyEZGBO0cgoXPS8aiINHpjWX5EACM
S6c1ghUBZHZkUn41Ckgz6BiI/y9SXJ9H6aHkR0sJ33fgvW6CAfwvVvNHEaj7h/9yM4hiwVNHIc+E
if95mMqItZSan+Wr7WiuI13THoY5CzWvMKzglLKpWrllAH+uTm3DpyLi/EwKAybxP3+m6E+A1EHG
hNLJ3t1aXVTrgNotP5Fm04+cXoU5Ox8jmhw8U3or9LEJ78BG0rDfi3RaI2pIozrNp5MVb2CNqm45
VNHmH94LaApsqpD6temW28rewg6HpB8i08LdtJZl+qHIwUWRE/rfj3KwuBiFJg3aMpSBqFTuhUvU
ttsEPvnoF4PinEa14kCE0yJfoU975OWoyxV/mvF7Y+2tLge6WI5EMxCxJnFRmLnJbYtcVJx0XbBN
rHaVSflDaQtw9ZYXztUJ82xFp2WtjN2JYg4nVjaujHF+0Uzdx9NsnWhA7mHM/hiTf7oRLJe6dOsh
a4HK2N/fZFLsZFC5VCTOyrWwtUfNjoAHJM0xcY3DycRIOq9aY+k4B6iIVNh5ppUakHUtN8/pGcs7
yaBn/v1r3g9aUWBi8dNAoTdCnrFvvVBi/dGMtT76sd1bK5P+4DobevXCnGYEb+zI2H4/3sG7xk+L
HAdgEsUiQLz7ZKxYSDJnRzP9b+rObLluHMuiv9I/wA7OwyvJO2iyZEm2Jb0wPHKeCRDk1/eiqzrS
unL5hvutIysiI7IyjUsQBA7OOXvt2Lge7pxb8bG5GZ6Cb/Y7hR7003BVfFzu1nfQ637kd8Flshvi
c7W0nzzJX5fb6U/YZv6XQH1Gk6RVMz+h/Wg96Pferf0OQfAhvbTeA7qa73y0yR/0u2IJ+4vxaN1a
j/aZzfd01k9/wcmuKDPLzsi2LXHaFwjLm+OAMM105su29/Z/nvDTZbT1+dLLQj84uWIyuSfflkYO
RJ/GaY4NWWuh4a/Dw5A2+tOZUX4zzCY6ZVNipbLTn8xp2lmJAQFvie2svvB7NJmLNJ58entggciw
GYxIKy+BuFtgcNRkk8n64NV9lHWJGUKXDz3/ygn6p3XeCwf1RXZVDfMRRklcazdmi6YDkZwfaKFV
fA6yBZzBl2l+Noxn5dTI2S+MZTms+jeTF6hrnzyroq942nmzisr8Wzt1L5yge2coz7lE/ea56dt2
gU8bG87MP9km28IOgI3wuFDdgy8AFOyXtq52Z2b3ZH/kHRJTUSdiP6bd9NTRAmQDGmRzmWN7qWkh
HOR7r2rVGfHub55kKybwDGw4W7bh9Veh3IXkuj1iqDRhwxeQUg3JlJ2rRf5uFOYLuD+ql63n/fUo
bjA7NIYUc1zSPXtNHy10okX4Z3aZ06vWNmGb1hQHQ4qP5qlbgTUzcNbLOVZlSZcOMteHwCqmG9Wv
4tCmuYXUR5lnuvhPrzo/B/UosLK9bVWdk486Seu2qiuWghz99tIbhs99Aw0HVYuGg87YB2VorFkZ
k7D7O0gb59D2vKQcEZtugerPTfeXHc1BVd7UZcOsOlYZT4OGI+nsmse/X4bsJTacMgIpLjKv353l
Lzl9UJqMsajx9oVTiUuDU/cM6fHEd+1fD0NnGnprgMC0zpzMo1a1ksJiPccFTYthU3VO1C9meoeK
2L+ke8UPM0wr96PbmPwrlrEb53Z8DlR1RNmID8oy419V1Y/d7O1y+1xP5s/w6tfTY5tr13WJz4nQ
6cjY9vZf5jo1hSoFp2VsgO4wo2Qami+OMrpbXOq2vahM7jG7b44r91Mu1hhWvx9V7WC36VYIcMkQ
N395D+IXIcShC4ZAmyrvG4akXYAvMQRJ6VnY1KcsLyRQyPaVmM99vtvcnzw8hXxuQChBKJr8hG79
8vCZEcwinabNKCqlsOK3rXpf2At1AL1NxnOux9vZ9Ho09iH6awEKkAR9Y9HhdH7aGbYUscx9Sg+o
WzGyA10jXZgnSdfk16ulHzNl3lPhOee6+OZRDX1rt8eUir9tn9Xr9zwNyeALvQBGUzdYWXg4t7rR
4MkKf+6sGozdnz+u05CAo5niLV1RFhclBj05QHWjAg6z6F2Md+UtaIOnzqJwlHjLSzX2+pmI+81W
RX/0z8ouRAM2yJ/69V9eowaPSA14NCCH9KYdFQ55A5RZXLjTKO9pAsd1pp2rQ1Kk59DPb3bmnyNv
8Q/Ty5d0ckWCKCbkMAZl7AKuCU2tu0bNjVFIl70MwK6btknPRLhvThxGJGD3aC5mh6T///V7zC0I
YLSmsC32mwRoSatwWttzbmInr28r1oMg5lIGAJq/ThnmNZKqCvxHR3dh4aAu8PNqvEcSrayI1r7A
P9BjWZ5zQjxZogy62UDrlLupGmw80NeP1jhd2vhYycVe141f6WItDzUnXAtgLrM+/3l9nkzjNhbc
y612wcmGdvZkLOS/bmKVRh3TZW+8T4ouecxXOif/fhRaIpCqwtLHRfIknErWZcLDCKtMC7fRw2pk
xecB46EzJ/WbeWM90P5DdIGchj3z5NPOVZ+67cq8IUaq/X1tjc0nUwf9thdDP56J9U+vGyQ9aIQE
1Gqwyuj18E8W4LKaSOdlUVMT9bG3gihAJqRJLUTMiH8r+72+5A7C16ZfVvcW5H7zDC4Hq77ewbl9
VxlNS2MyrlTZSz1UwxctLZviu48R4U1bZc28o69zwlcXMIFdQCrz3fFKriZeOGlRBmey2G+WAQ/j
UzviHVFJMk6DnJ5uZniwPIy1FkHUQvEK66JNzkQab74m+lQ5yvguN4yn+SZKXIJeUnat4gAdP9w8
m8o8gKZa86NJ77UXg9PH+bv4l9eESo1TBjk2Ar43TzZpvpxWp6ljUnI9TiLY1ju5as8s8JOeSufn
MFAnidF4Pm74J99RaVColUFaxz1I4rDxs/Td7INdBuix4h7ndw99tZpRmkF0GoXKdpM/qtAwenXw
+jE9rsFifPrLj44nd0lv8j/k4mwkr7eR2odfVxdbEbwiiMoLZ94X2nAOAvN25TAKUSOdtNuhetrC
qtSS13XPKMXg5A9+lmV34KjOSZ9+Nwrbx5bM2PQGW0X31+hMG32tsQa7irHyWq9yoYmDCRjy/7BW
iAhQeRIHIuM/+aTp+HSQTAQVUbYs9r6azdgBunHmlP7ts/AkJJoYCKvb18+yanKBy43xJSCU6kdr
6fNuTDf+1J9f/8mR/HNF+swVb4b8D9fL18Nwbo7atA1Tja32XitKqKf5CsaQ7qcDebnywsvLc3eJ
t1swklybYJXMIh3y+skMrvlEewlnZuz7kFuMEod5Wp00HMOG+vHPz/d2GtlAtm53c+M6s8pfP1/p
wL8wA5XFZFO5GBm0AF0XqDq6+M/jvH0k1gKW8ZhlM4kcLK/HmaEC6mNLIhYvWPepm7kE9CGd2ibM
amcyre9/Hu7ta9vUWjgw4cvHte/0sSpjcEeOa4ZrpXc5sEs4+wXH6gZOdWIfymUujzqv9vC3w267
BbBqaiEku/WT60+xNGCOl0qLXL3p551rjFp/cHqtvaXNE+tUgz2riNO6Hs5kXrcv95fLAMuUgcl2
IxZFC0rc+np61YA2TOmZxk45J1dZ69UXJazbw6qWBTzQ0h+0qtTe9YZVxHrdzGee++2RRIYHo3ck
f1uB6zTrTlfHoKpKAzOm55jNmMGa1fu6NujxoouOhHBn+tI4s6TeLl0Gpbkd0wN0qyhYXj+zL/W2
toFHRYnjazttI53ORaHOjPJ24TIK82samwkPS+r1KEEBzJRMXRKpQa7z9UC7qE0fNK0icVmwsM4c
gW+GI+oCz024yliU7062tVQoYIM+hhz2vOoHURcfK5TkR7OHQ/rntfpm+lgnFlsaCUkKapAGXz+Y
NgoxDFkCg3PKsr2/Uo9JjHI+M31vPsRtFKpcLExCVw6316Okadu3GqZZkZz75t4EovMC/Fg+G7kN
mCgNliaktedcY/2bWWRUTrifV1O+iNNZpCIZWIMw/ahMVHNJ/7ofjtIoAakAc//zNG4P8OrLY/L4
0Fl/3NqQkm3T/Mtt0c35R6uNO3dmesNHvIOUfO+KSssXLIOh491wo/XsAxKrFBIV7YqN+tuAnUvH
lg0iscyfBNz99S+oRnugVoV7oYWgP9Y6q1FhoNfTx7b37b+96GxjgTQnx8Ff/2qK/uVpFw3/79av
nSgrsHQTpYY9uJ2fuy/+5vVh4YYwjqnhuU6XZrHQsKuRR4zqVi/7nWZrQb1LyeoClsYw4lyC8O1w
2xdO0xf2mBQp9ZO0q7IHatacjlEhXHlVYCcVJdASbqFE1rs/r5bfDrUla6j+b9jEk90kLS1MaBas
iWk31ZdYOr39vPQojPe9MLUzF4W3XzjP9ctgJ0vTyLsSH7nFjtJZznuwcLQXN/05h7LfPRKJd+IV
CvN8dtv//8uSYBNezMWUdiRqDzBXMQ3efZp5/rU1+M7feeByQXC4KLIh4xxqcrP/2Wb2y2BrTt+3
KZi/zEocoK6VvtPxO8N4wl3/9kxzyB5wmINWYyyqgK+fa02WsTALhjI8Mb7PVoDbKzq3SzBgSwwr
rT7zGf/mbW0qPRQFJr46UGlfjycCOVh5O9pRm0/eo6z19Bh4dRv/eQH+dhQok2xY5O7eJGhHI+ha
msLtKM/t4rYpKhNnoqL424vwNndk+ynFkxPnev/6WVQ2mW3goTWsvVaBb2yyA3LHZffnZ3kTdWzA
LJ8sD5svbg6nF2H+6HW0G91Ck5Z633iD3Q4GPY08/Ui91GxGeWbyfrPUN204lRmSyuTeTzaKDgcZ
jWIC/RlYHTSRvo6eTatEr38nrU5h9M+P9/boxLGDrAj6TUSCZLBeT2IuKw8qG6M5ygoit8A5LWzk
HNykc1fEA4JZOevpmYQM1/rtKV6daD4dPWgp6bslkHzD55wgmJtracITbvvpsTOSfj5OVj5d085j
gWLrnL6FxT9qz1bTVje6C7kwSpbO39XaWnj7MmgGD3u+Kb8H6LNsnrOGotmssNdIDI4/R8JK6wfY
dr21+SyrESEG4M89IeqE+VBvZw8Jn4JDD/7UXvlYEYC49FPon53r0mAvNGV+MHtnfK6nAqanQcO8
jMTUmvvUWxM6aSbb/mrzH9+UqLv8GOIWcuFqQ1THdtqBiywFGMA9lOflsZbSuBiyrcOidVLcTwBX
fw+0wLhoaiuZINckxbWDpQL5QysJ0igbneKWVpa6idJ+ro6DNpcpFGjd/dLaJLNCIUgVh9NYttdj
N/R9mOW95u2XwTN76EZF+twneidiB8Qe4kqsUa4WwOjV5ZwIn0yYlD6yjKVoP5WZpHEdBpR45LJb
Pgtc5iv4i9SzwhQo3b1ou2KJy4XjPiTIy59whR3XkAxii7fSqsZvqQHEOXTmsXwM/MpaLppm8j/h
W9S8p6PJLsM61+xHMKn5JzVWU34lOhe2fSE9GM39SPECWloZhKbR1fAUk0lJaK29dueMa/GUGkRw
2C62vtj17uhTCiiQ+VO0xnwi5GOZb9bRrfuDN6VYorqVNa/hrNIyD+21m4+a2Q3wCTLbmnepm+XP
YAWyZyzhNBc1hjKdC630+Y4F3RZI2hpxTZzPpKGnbW90p1coSPU1vdbSGZ2UVXj+5wLzKjOE74oT
w8TdGmnCmMN5mYCQf8EZAeJBnZf2Jzksw+d5GZ2bKpnwZqOO7l21soNQKaTX35WmmM0N8AlmH/rB
eJ8m2pxGpp1ArDfHpVOwer3ECNsOg4/YW2Tt7+TYQVjK10yLJ24HVO51a0B6VDJYZJU+lD3R1V9K
U1V3wSzbbwJzk09ZJQoV4RuwXKXdUL8YnT1+om6nfcABxP6a4iPohcna+kXkEkf3Ow8m1UWW2wRi
bi7tZWeLxqa4bwlLRYBz9NspWBFfwLY0Hv1pkZC/m2C6G2XeeREBnu/iv9JCT+0yt7qyWEA/Mq2g
NVSlGubX8LiRjLillT5IdvhHicXFk+brEE+DEdF6WC1q7sLK9qc5yjxwwSb+aTADDYT5+5ZaLGRQ
ma1PyPr1eY/ybDwEEA22XtPSa4hURYfZLGjQj5vm/yrlpgwU1+rsb4sn2yLyDOWVRzeQ/Q4EpZNE
A7EbyiDcThEfp0Nwr2XBKi51UmWfyJStzk8T7Zu+rdCZNIWaLuiUaK70BNv6eHGt6X3u+5W9H5Mp
vSjXvkD5DIR2ikBbiHKv0UskL2aTiGK/jmt1M3rS+V65vrp3+wYOBnKlwQwHpmCENTsNemyC2X/U
ej/7qOE/fmvOo8lHuQBHpWmlntxoqnL/ZTUUZNiC7zEEsJEGOyqkrbOvYQ7hF6aUF3Uj9gi73DLZ
qCwPn8pwcpNhwORUNqh8SZTQ7Egcwtw50vki13QewqyAwM4h5HoHMS4SYZehNWpvaKazhqZZq2av
/LK4M5fM39wFHOdRGHJc485aQFepaRDvxrVGcShtqDVRZ3qpHZWlBuvA5qM3orlbqdDOdW/o8Bmn
4crTs/RbPjn+BjrNpmcxjuPdanXp+7ZptBeTJMOP1S3Q9PX4apJdBOcQs3DKcqdXyBaj3E6a73ne
23CO27XKbnudbljqTcvyUNQ13Seou9Ov3ZzXPzqW1hIrgnJ5NJaskaHKUB1CQ5YfzUmMlymkkSos
RlU82v3ofiaA7xHLiXp+R6+B8SNRdXOrFYGjdv6ytJ/nno86FOVofQnqtlNHMDh5B5usrF4yDKFB
IWmBd0gVKYU4t/q2vpzyXHy1EhsJXbdq6gudUUrfB8z3jVO0m/LIrlm1Lt3Ue7emMWCXqIE/00g1
gAe+Fszlwaxz+T4rEu09VVnt86Kv87vtvv2CE73kjKgt42Mj/VpQSM0FlQzov9YesyJyv5mjqILY
a0+tsSoz+9JqavGVYGp6nJVgsbl+Ix/0vLC/Zpm1mbnPm7FRgAf259SVC1tjkXCSOEZtcjQ3Vc62
PGYN9n7CMSLux8nHftWDRr9agV+06jAhgH5vgYuud+0yWk3cqQo5a1kE5d1gj9M3vEtBwKpp/JoN
OAJFouHFsd5YvGE3mNMjB5v7BQq3I9i+DfUxlZBSO0i5w97iJGoiL3XqH5oa3JegKiu5T8tukCFC
yw65v6XJF6PMrTVSGmZ2fFeYztDvUF2XHrK7MPNmYwoXRKzMjjePcPLqsvxQrj77TTDBEKMmbNvg
xHt2vshEbvuxypSHVDbhl4bOmpTZ3qmU4pUOK9LNOVt6XHpU16zxQjBr7lfcZbLQ91ZbhmtpMGqQ
SzPb26gX54j93fmY+KuzHF1NiAdTo3UQ95dssxmnn2+llb9FfpvMSWqFVj/KF8vveYrBz9r20C+1
N0a2VEHLpmv7n2Cu+CyDNAuGWDSSB7DpkcWQJpf4z9jEIzh59oH4oGAxfxupCw9I+3zDYlrGQEVB
MftfK2B+n3qw3Ve2XIoXsm7DrTam61cI0N1XLTPSISLnAj2RjvfEOHDuFzd9oyXguSFSa+GwZNm7
xM4JgUxT5AsoMpkHezN3Cx2xQFc+llRo9VgOWucQCcxlEWp2q30RaAC/dJPRingsByA+eq98Np3K
/gRMh1BonKpkObilnFmHY5rQQFmVKgvpCjMSP84J+AqedpZT/tUMStsLAyw4tX0p27Z9Drh/5bHG
+dLGOh23D7ljpUG4OmnGf5QZWIFaOXN/AF+Tfp99ZIH7YvW1da+Jun4i7ETRxAWhWg8jkLutxYiy
3bWXtBjjKIlPSRz0236IRDHDk8GyO6yzTX/4WkhHF3tqjBVeIlYnqjCriwUpTV5rxaUku2zHCvq0
tul269ojMTFWziVJ0pGHrgq9uBJjCo2c5r65yESUa6IL7rGZMrSdPU+N96T6On30SjXMEanhoUzj
thvcFIPMQFs/+trQu7cT9cT1YrNXrS69pqLrtMwF0UWUYydYXYGgbrWdEO2UHZTUl/J9ZmXyMi20
ZYpTS9f0S0msbV46uHFM3+yMIFOGxqCVVVSTFax2oq0FIC0Y+sthFn5OvyEFwCDZaXquA2+Sncwv
7RKVyjPORV2ijhSRevSptpUswSXNPvV4PRgLgR/biS0eKuIbcaVkttjvrYlzEosWWnuGHX+2VeyX
NsVqaq0BjEezI/3gOLNF2PcWIU8SzdQfi4cWLW/9wZ/Ncim4fOtl+skTvtLDyct9/aloFO6IfCei
yjk8Ha4M/JsOLtZ2DyywqbNJ50pAf1JYdvWUkXNrCiNyzRJcBkFajckYh4EDHobj8jDU7NOPRs+L
u8bjKnMvvXwc5KFop0SPlz735AfDKNf1zgaiZXQXgMY72v9mevJzyPCNl8nvfpI0IixyaCn73tJq
ncbwKdM+euaYV7c9rcyYsQ+pcNbY7ZxEv+QybAV7KdIxf5k66t81MRHXFiPybGgGkbOkw8d2tutl
lwqaDx791ELPXzWJpR2yAcj4TS6Dzu5DhX8BuwEAuqdRGHxa0smMcg93eCDSc53tQjZObGlWp1IG
5vXlF10nNMKpwMPgNjSILsZ3nd5INlcEHlW/l20t1ys01L77I9CDBTskVVjmZ7dpBv+mdetJ3nd+
5ViHacirLWoce9zRoJxsx/9cV8unxZhkM4WeJ5Lhtl4h46Fs1Ip2AOieDVz5AJ5M3/TSLwnVJkr9
ZCSc7F1b0CcYNa1VXbQylwARC83B0EAaIzSADLZ6tc+zrCyugzHLR4QthSfvDF21CO5dWzx7EinD
rTVQFAitYdDFN4QcTrPzHSk/qcJki/a92e5j2x9wDEjB299TADOanYUpD0YEC+3Hu14v5uYg+sww
09AGOG+GoNUGfQ8AUHlTiG2mn+2KIek7Qrp+ld6PpPUAyCgYDM5egnP9kCiZz1FDVL/sxQTQ7L7G
icqKJ3NV2hUJdyQWWA/rdRhodqFogiyk+TjxEpv9TCBpxElSNPoXUO22e0Q3P1sT0qTJaw9rr9rq
/TL6xhAuzjjVN2XhJ/nN2id0Dy26ieXXpM1r90CdQvXPQrOc8sqRXTF9mO22KdywzLi/hVXWD8Yh
oEktv0gFNgZhbs2Wtp/mofuROGp8Mrx1bcNEG4R34S5OCkgoNZ3iKNM5xX8iAziQwiceIrDxc3WV
ahiJRXmXomIT5LzBJlfYBAW14BpFJk0z7saGolRomIo7a+fnGDDpzZy4sXCJjvgnPOJFNbV8rdWS
5pz0QQG+iHJJkQ8bMkN+UUvZBHclPYbJl3w1muyy4GbpX41y8ctPCjMObBcKfWmuM2s0HVwsFmd9
p9kmnmA1/Ahun0E1iGZHTGtXkZ3RI3rsdMX6H2c4CXdZ7XjAifCxsDxiuzWtPzoi07qXtejVd5wV
HKc5Ngnj3PsY3OGbmpMV39VGrV96/rCycRED+csHAQWg/7GkuoV3LXZxo3GH5V79EYB+6+2U0JM7
u2u4q+eiSXaiK9BtMGHFj5RPKtgVcBKsfdaobsCfdRJ5zKP7V5Ve+NNVMOhc3yv4VJeJApoclsoR
164zOHwKY+M3u97JUtwf9Mb8Mc0GbV0kGDgZxrLrvzp4CXARGz11V8DJWvh6KkhMrVsmDhm7Ns32
/Hl02ZnYhDxxxW3XwypU9QGPnmzd1fie1ZHf92MS2s5kXy9F2lq7FuLAeBg3vVPIBaQSh1Hj46Eh
Br+N3QDh78c6FAe5AH87CLfDBF4YfhV2QSZeOJvBbmB2nIy7hUyKFqqyKK+8Jh/yWORBOe9yGIQ7
o5f6FwvfGvPYFtt3Pug9Tim4hwX5nuorgAUkW4+8EbIIhA3J/ZRV5OsyZzYHDDUW+dWdDfeb8tIG
ooVU63031XjU8av7G2+AfBVhsud8mgCgOFyXaf7rVY2dxJSb+ec+IU2773Op/AN3yqZ7N2h656Zh
risdcyzc5b553kh37eZk6BaR5jrlZ2etnWszSGa8uZQI9J2jF/KBDEmPa2JhDA+VjzdlXJtrrqLZ
6MTHVbMqWnwxgRPxTAPd8wDDMI3c2R7MaMnLEXa21ek/egzh7B3WiY2KQIFO67EA5KRCbSi677y4
yguXRWsxPaFR+MV38BqOqBnNMkR0XzwZUM+7yDMnDs8Ur4oX6K2lte+wEk0gWkjteW7WAmOusi0N
LFYdYRq7xUqJQgouiSIax8YwQqmkwRSr0SaD3bTdF88q2hoKS5LtAqHq7yMmR9xhW/EE8Vt4UY7/
CD8YX8GaTzyzPqDjmzerHJKh8djALyMWdPNHPR+SLJwm2F2RucgfWUOCJ1q6cu0OQZHa3/ASbrKo
Yu3cWomig9ElMiZ76U/wKkhGiqsF16VvmlNgwzYHnng0ZhrLVAmrJcJzRPeOldADILWi7oxLs5qz
Jg7mtMWErPTgecBsewKKBOZDNAT9MAj1tSGKt5d2lw2BfE780ti4KgHxhp3T5eyD/xHYpl3haWx1
IUA1aGapZZA7Y2OZuADXQfusTGNoIzvROooneZVyP7MmHFNLWB1rPMwam62hiGpDvmPfZJ+dHZKZ
wzIPEQKoHOPYFV9NJXr2c5nYQc2uXmhchaDL3xEMEc1WfqLWkOBw/N7nipHtFpJalPuc2zTFDXRk
TJORlheYHml+6NZ54e4GmGg/tFqYTuT4hfOkymCjsNSi52Mvxazh/GqQIO57OWTvJMi2Eusvmcw3
uV9V7D61X2GhNHQmcVfZddfEin0WZbWEEFjo4/rJhv2T7r1lEBJoR89HUk6iF3GKhAx/xkV531OR
zFlEEwHoucChlnplDwPStjxtx8/LOipyjbIz8miyp4yoYrLGKSwprs3IYWYMiDIyLWRkHLt66PRq
qd9pWuaXOzML8hcWY7VEPkeuAZgmSQ5W1hXiQvbupO18Ev0NGwcxBP2pRmrGXtvV6WEO2m7dJYmf
DHsx2tiiUlRsnDidVDeGhdU3GUecJ9mKmoCUhVADSEDDa413wVCbOqSoabBDpO6VigWltGanabgO
xV4wuVbYljZWKlrS2OBnW835LvIJOnOdkaiKAz9N7+fJVA9BXV+ShupxSBpaehr7HJc3SNlDhQ+l
cBYz1qVRD7vODOQSm6IdktjsbZnEfrm6+k46S/6jlr2fRzgqWdlFhZwvdWNuK1I94Fc7ikjS5kfa
aLS8d4nPDSai5VH/7tdJxT2fcPEKJ0Q1HqwVZ6nQ4/ZlxJNlyvtJeNYHPo9higaqxNd4ARpOWGuV
eIeslTyGVpeSAhfeOq1TdGlszDmfD1mvD1iOmyZrwdefE9RReCO1CykhDL3KLhqDoqoOuaH4rxWM
F2oia0Em3Gg9BxxQluta7FcJqV2yJdrDUNR5yuHe6l+NJHf9UCMzk12s81SpQ77pmUNTNt2tasgC
3FD01QU3BrGAOwBafYUVY79e1TMBecTlV2+OQLLqNFqaza8v9Uf/g7/5cUWwvrifrnQjTuk9hY2s
vhu4bbzLPaL/2LM1MkXJ0n7tNM9Oo3rqqx9B36+P2A8va4jbM7BEwvHqOi8lxCpD2ZvU3smeyOgh
bC7F0By9xHdyDjQmmZzSMt4qIVYrZM8nQNJVVl4NWLgEu9p3CXsd5V2yc65PvYNyLlzTDqk0MR6G
YaRUteOkLJFh9RkMJK60ecj+1fv3VySc2+578zAN379PYOtOWXWvaHf/j/l2NGD9gW/3mdzV5+bb
f12M29/GV4g7/sv/ReJ4/02ZDTAr3dzoEH9yb/6NuHONDYmDUQ3NPbSTm1sn7L+ROBsZb7PsANWP
DohWIYsC3r+ZOFyF/pveAoSMW/usj3Td/BsmzonaSAOCT0MJQ5x07Qy5qBJZl9WREPBWZWsf4qqc
Y2iWk5ycButFH0vtA0JC9YRHVckXjTSRw9ONlkQtkVYtwUFfMTiTemJ8LAewvr/M592/qpG/cnNO
WBb//LKTpi+KFLocfbs8VlZWX5n20l2TQumjgnr3Db57SaQPgYMdGPayhlwwLbfWD5Ic2N7U077C
8s3B/guRfaxjL7ZPzLyPLSKeg9f6alfRCXB/5pduZdp/yqn//NKTXkC9FS7ssLI8isTwI9qRBizj
O8g3Xpl91Ss7u3Jt1e4kqjesU8m+ocEY23Oc5f80+kk3AY7SSQDCnC7H3nT2LnWvWMPZfOf3sNaG
bKqPY9tVUTbPXdwZs7xyCWvP9LK9bo3658lPqv9tg+8ZoqzyuDYpbLjOlfl7GsHGC41m08jB7Owe
ZASF4ckjKfDn6X5dov9nzJPGGhlAENQMszjisFfv51q4Yes31U2b6N/+PMLPVtXfvdCThhAfxH7N
DRWFlZFmV2T9sx0c/vaxdvP5iOs3+QCb8ylIFz3yuro51quc9n66viurOQ4cTcWBTfdXUI5fmt61
921ucu5oRnLmpZ+IKv6ZhJP+BA11ICWhuTiaJfXEZsyLnQtAf8/VIjhaq95ccpkoL9MgqDGEdbNH
Wu/wLjc4Plqhc8Al6RguQ+UdLJK0l/psmO+I8NWV1XfLhT4GuMD13hjWapnO9B38p/d20uRQj3M+
VT636ZWKTUS9po9xwZaHpvMe/vzefir93r4391ScI7IyrWxQ+ccKA2+oyxYphcbXjk7VqSsJVjA0
UScetBGr5JVj9QKdC8W52qDQrYTxnlB5Ic7PnNu2hFSnZbL8NDWpfUy7TBy9YpmIl7j7JBQUDhbX
q51SrTyQhiP4Iye3IyiNettUO2Bf5h4hRUOiXvQXqgOL2Dk88lYrubJT0nk0DXQxFg/fR6SMN2Yq
fHJBg/VXIJr/XSAwP163lBSkQQo6nlpyF6setV3uURsFQqN3yzlp/c8G/N9N98kO3Q8ekLVFMd1e
Me7zqqduwF6Noat416X1pzkZnonYkaxYXg/+xlrOvGhj+xB/N/LJjttR0PDswW6PZQ57OiT3absU
mQ0bLihJWm4fXkOWoPJcUoALPVCiM7DSDCYKNr2rHP24TsZ0jiv/H3/OyRbcKbL9a+sw2V1tXc9r
KSuq53l9XBYH47vGvmz8tCJJY1kANdt5pxklft5jj0kqJeYzG+MJa/qfd36yG8sGXU+tG+0xDdIc
awew+iXFwWhIkw89yb443/Cgiz6BlJx7f7cOCPJ8n4v9n7+/191a/4x/sjPTT2VrQF+roz8DKDGA
lcZpW/VXje4jcDDdcw51v99JcN97vbaRPvNlSb86Yt5QY5Dquhz2AX4CRv/45yd53Zj1z5OcbK9D
FUDU74LyyF21iBO6p+Ki1ALeoEGCyCqMXWGe1R/R3PgflvPp1qgK0Vie3xxp5COj5Ng4JPeAqi7d
/2HvPJYjR7Iu/Spjsx6UQToAs5lZAAhBTSaZcgMjU0BLh0M9/XzBru5mxl/BsK7lb7Orzq5KBJTj
+r3nfMdZNX8rnbmWdOoE/R3Vl+VVmeheHg0qnhWbNL8cQm8Q86Zg+CouGOzf5AK10pgNsQjL0Stu
5rIXzMTyRf/umEP83FWxoSKdLdfXYpHqa6qPScQ4pdk69Gb7kDWwSAPHYTENpsHFwLHUqV/sRJy5
97qn+jxkLG6QCuihTwkOEAGpSPyw4tJUG1II/IuSnjX1R2Zo66asYjZiOikuc0SbKd3hWYdTnFmW
ukcXxCRhcmv3LkFxsARMR/KrzFdQe2dyU52glqb2ebH7ApyxVs2bwXeb6nrp5uSrQ12B/oAMj9vR
r42NI2ZUQOhTmB22Vk/oGZkXuQh9lCtik7Z1srXmJhl2ZtqIJ0vlDQKjull/aXGufZ/yjBZ/rHnO
vltq66HzgL/SsNTs6z4X/tMiEQpuDBulCQdd6jhKxsq0g7JR/RcApZMGJZjTO0AO1p59GoKg6wXT
tKUxnJJwbvfKKi9LfdXKoJ4zA8Kw6MgAMUyVo2ay5icrq4q7Qo7tBeOPYeckJiDjw8zEPcDxWy8Y
yxbsB/6bKdvLRWZaVJv+YbCYjc5uLWrji9BHqPJTy7yF7qIo7gTdUu0yHRz5sxFO+WvKW/+q71zI
c2sr6w1FQrMhwW4k6yXrhy7s6iEe8Vowcg+NfvaeKm/lLmMZKD/UVV0zXm9Nj1SijAxPbQVSiATA
LsjTsnxcUy5NiS8TudRAfVd6oxu7LQj7S81Eq/YYkKwvOflBe8sr+o95nefPRiHE98rWmCqrpFnq
j92gk0rijKu2JWFuHiLGJXPyIDKr7kKj1ei1MAWh4DSJFvlAzkD1KTEPlukVtIC+Z+gH2d0yBn2L
nKK2L7pRmhcFaUJqm009Le0KagK1TZNdS2fxGd9rY4EOp83onQhSS1HZpLp6sBFRz0Gt9G4KvUya
j8rWzCTKBphvgbHUtNlbR0SVnxqB6H3/inxmFQHJjTcGpOchYPDEvj9n9xTQGFy/+ovTAXshbqdG
YDcPj13r1HVAMIOWb/VXpZRnpzt7nlTHsMIfHpDd1UaoYo+HvRySX05atwN9+OmAucZjvekbYgQC
V63dHiVjtZ1l1+Z302CIxyGd1ZdeJ9B6g1aB55BHJ4nQmPK1xgeTP8g0fU06Fv5Lw7vWIffp3cdY
tfUvjZSH717CoDBKEZX97MhTRX/ZKTrSI0PVj6QTAbUB6O6/DKM8DDKRkfxsEjv/SNO8zIMEQraK
SnuebbrX9mIEnaHqZ6RA6lYxWvi80N/YmoybngRiGpKkEVJcDF4Tt5vY0WLCaVPzlhbMJplbGNSt
UtkvTOTtJq88ByWh014m9A+fBqNKDhOcqnt2eZwKBvh63+3NpiKBdUoPjr7Gs76OrzbSGt3nVOnp
RTfEPVzw3OjavTeXDcOuJZ/3aAddNK7KWF8Kv2+HPdrwZd2QW6Rdx3KdZMCiUH2IUQixag7tV91w
l+pSb2P9JlNkl3YqHVxGsG7zySZlbobws3jXRrcWw6bou63t0YzhOY+zW6Pj9eVGdnunm2YRTOQ1
q9AvmNYZpYtMpcpKFophyfbjQnZMQCSm/9Np9CzeVOWkf68SUNMBG0qnuKiZNbx0lKz11kPFYASt
a9D+FXCabxa/IeGjFL2Y6Em2edAzy97FbQJLbKIn/VX3h+p5RF3CJE6aFnPKqkPfJIrioPeg7Ruz
hrNmhlnnM3/R09S59meb9/D97+2JL7p7VK12k6Uc1fYUUMNCelRtJRdlLJagWa1z6ZiHIugvSkb3
qFidkS9UHVkXe5DR/W4aFmuf5Muyf/8EjhiX/6oYjnEo2YoMnslXvZ/B32yMuoCsz9QeBEEC2qdo
5GPplNN2Ne0Gia5vh3NsiUvVU7v4TcYEziCJ0AOfEOQ2euiUr+CWYWv2qR1dY6eZQxXNqFv3OVOF
g3qOryyh7Zed7clbvc/tv1lDHhvb53yixz+s5T6HmnINQl8GZG5mUY4+b8sQAsxMwgB+zn150VEn
7cq4m6+NdjwXLvi7z/HfF/KoiHVTp68KWqV7Z8n1u3y04xsEqPkXhMIr8qFKRlliJXtN4TTI1+Rc
nrN5ouQ79ussLoKZVNnZPs7z7kduTQO6ERLCDeRn7bWC+4BKnUlFF4xdNX0cHFs+D9TTNMzUMuo7
0RZoAVdfun7grnPFmG7KiAmw0VcFbjx2n9iaQsvH4TwiQJJl8qQhE2XnmZaNvxHpKL5qSK6vyslt
+AYju2EBsekFv/+EnrquR0VzbbfoXDxKEIYlJlVPeuhktOWwUfMknWDu0ABg0GsTO6j1uP6Ryrz5
z2CK/76nR+X0ioeGsceKzaUW1VeRzMsGrMEc5YjSznhrTuw9joGE/Zy5fefJnMrNZHCgVbuqNihk
tezHTKDNmYt4Yp06xpzhOci0pGuLPSNN+zoh4wL2PeX3JCgy379Pp3Zxx2iYGg2yVloQCCxnTbf9
lNphiVCSErwx3Mjl8xPOTr7c1zUqWfL8/IvJW/MdWo3455mfcNiw/cVa6R1tr91WG/yRFgpv2dBc
tDFQOdOv03ujGLIHRlvEWRxCE2sDKdTBVHWTd5XzsHZFFy7E/e3buDznPTvxWh7jh+o+yXgwh2Kv
UTYHXqmT2qA7qBfKRguNqsk3rr+Mf69pcowooV3jFihZmr3yLCZhIvHCxkJ3h8ao+fD+tT31BB3t
kYeFQdbcW4cuGMGiHQwTip0ClthknKMbnfjSeUdvekua44gpoqHtheLGymSDDmQwzrAfTr1oR++y
x6h2rVxR77sOmBfAxaeGEfeVLKclmBYSS9+/TieWq2MYB+4nEsMNowZrxSRWH/SJuaJ2k7TLel1p
Dt2ehddbKIcSZ0TL+P5RjyDl/16pDj/njeuwnqvZSGXd7KtY7z6h++OEBHYJGWilvX7JLKEz+dXz
hE3vlGCA78u4sQK3qNY+jDutuB7KXi5BzKD8FzE3zaeGgB08yQJFLUrDEet6/bqh1hbW4rUmDf3K
wma1WxAd37fVPH5x5ywuyOqs9QvTpJkeoXRO48CKKTd3OrFc6Du0zmcH4S39g8HU/RC21g+MsOFW
PWSxKj7VyI8PysmuWc/ckFPdvmOntaprbnzHIk4zwtouhSgeysLVaI/TGy0MgV/MY8as2e0vpew+
EoxvH9+/LeZfzxmEOLottEKQ9neDtstgpl/KloggvfHWrwsA9JuWx2TjWATvhBrVA3WtmRAeC+iz
DrBHOS/6wNwoGGgPJZE1Zf5tvcSxFfXOovaZM1VbjYbL3qoyg+w6qraXQvfQFGcpshOlMxrWzIqB
UsdmsI8ye5lJGJnahRQx4Q+790/xxDonjipgf5iYZpVFvo8b/voSycu2lcN6bZWAB/KsyL90aZmc
eYdPXc7Dj3jzlAtjstrGa7N9Ya4/LRwzpEZJdoc5qbSjsZPeVH6zE5xU75/bqU+aOPqe6CLH4uYx
oqpVem14Sj3gJQZCdsj9cc2sRWOR+tvSL57j1dW+EImkY/0b5vv3j39izRWHP39zuoURl2TX5cXe
ljwjeimqyFBrRqZSmZ0ZyJw6xFHV2jNy8eaxTveM4tRFnJl6OKAUvOJY5+IoTz0hR1+O1auLCjFv
gkOzsoJk6sYNS3Bx3fZIlecOZ1Bn2Nr3v3fJjr4hNYlrNEa8ZM/WXIYeINELuA9+OM26u3n/ECc+
JMee3tSt55X8nmJf0c+7N1YkTF5t4d4bCkDsw3ju6TsEyPxVNXMc6OEPnTNreED2Rizqq7xdrFCK
BgIOqUzbWrO0G+XJ4lLq6s5gXb13RYWG22jaT6o2jecGkTNFuvGzZgcX1I3R4PrSn5Ipr/djILS4
3aOtlUGaFJ/XLBPbdSgxsFR6HU6aNgeLSnCd9cMubQ6RYm3lbEZPd2krjcXdYjjfcxY3GgjZwOZO
8/djg59Ed9MOrwL15SzS6qHm9m5ifBcbN5+Kq0LJHjGeKaJVxN8IQO22Llv86P0bc+p1PYTuvX1f
iBpvUDKYbLK8lm5KjhgmWIZehAL2Y0Qgm4cw3dQPdth4OyLD+YooXIVWVer793/CiWf9mCXSjKLy
V8tI9rJyk2+mu9aPq9mVoYmWKhy1gq4Hiqjx5/tHeyW8/EW9e8yBdLtRa4YF3S7sQv3GFbLZWHG9
7lvZ9xfTbKa7QciDQkmake2OFTHotFwrE+0foqM4ZLr/0U81n+jOog/VQT1uTzMRfpW9fhOMWg4j
wpwobvSxdDlwOi1Nc+Y1OnWpjtZWf4Rt5GYq2bvzLDeEmutoAOvlFhHq5yErsoe1pH/0/oU6+WQc
lr83K+mCNTqvWiLAzYpWh20tcqeXw/Lijst4laHivxxFIa/SMk0fp6JqyEbLJbo1Ek/f/wUnattj
2hMgvwxJ2cDZDoSmLRlBZgjA9L9Z4zhHa2wn0XiaCcUAWkC649is98069Rt35Svs4+G8anGkb8xq
zUmR7VwcFbo4s4M9XMO/egiPllzdWLN2bKkSdadE0qBA/elFnkVYvvoz53diyX3lAby5ffT0cOYv
Wrp3l8X8YgGSvSEA7rv01noMaU2da+cZpx7Ko4GWt9TIiYSb7gsX8Ufnz8sDdvDqauqHITKb2Nwh
Tta3U0lm4JrP2UNtKm2TiYyKWrSQnQSjk0DO2rIZE9e6XDCGRNIV8d+71sd4PKI3rWHx+FyXfZ0/
xCbddmM1SyZSjvHp/Sf1xO18/Rq9udbZ4jWqHVW2J0nX3xHRSdQ7YNE7W9nnsnxPfNgOCahv30Y5
lfrsWhmHkLm8dCcDHY5W4OZzKn+HzdIMi8RQG0Zy7ZlK7tRJHS02REJ2MDmHbM/tG0Ixm8Uljyw+
RyyTZyqpE+IbACa/nxVhmclolz4NQFdLn+hwV7vR7837su/bcMFxi1WrGR85bnfBkD3dm3PahU7i
rVtiR1Q020axcdzZDldg2JFdCxXSoxmivp/P7U5PvEjH4EPld8PE7C1jdwrrGph7ES65u2wbwRDN
hRq4e/8hOnWco/UoFp2GXZv1G+Md6mMAPFdr45PZSbcSkfXyn+GY/rXttY/WHtDOaMQ6J6M5rogS
H2dcn7GvbfoJi9b7p3Ji5baP+gYNw9bBWBEnjHDrNuvg2zdDV58DxZx6MI8WHLzzZJZWPgkSIhOB
7XnOJjb5QngLU/v3T+DEIY7x4kXXDJYq0S/lNZpxwArurWzXu4OX4czn9dQRDu/5myUDRJry+qXk
JFLfu2sLjBx+06/3I1bGM3fhxAP12vd4cwgtzVaIoX61T7p4+BQDJyGWtDAuhI6yHCnocPH+xTrx
AThOHuCn97MqrHyPzvJRyPY2yaVAxK0BCmhxbQvbO3NGpy7a4c/fnNEq+LBMRIXu7ZpxiwmyM8jd
DgeanvpnDnFKn2Ed7e6GxISkgndzn+fo+CZtji/1OdNAp9RQ0CdJYuxhImbSvdlkBd6y3rDNy574
nk3pemfr8lM3z/r9VL3UoS1Qs41Om649GFy8QYaGYxjf4q7BqQuZo78YzVj5CDjUcyUb45ujZNuE
o7Kt7wNUjku/cGqcHew5kMYBawi9xKA/9f5dt058kY5z5xotc9jeo9m1VBcU+ao/LrZCGpHPW7Mv
+s0w081GeoioVzReKGEGhYzp1dZP1BTYpeNESLeW26zkNmLdqRmmu91nlRjebnBMLK9VPG/QXq5R
RZLyJk+g/agiveoned2NuDwbSWixspNAZxh7PS6J+CxSb9xViVVsVUKwDh/73ThofmRniXk76zIy
+nNrxKnzP1rkyrbLzdbgQUFeYV7kxsw+xc/R3ero+4FR/wIazd697/0ze7UTB3zd0bx5+vM4F1JB
+d7hppB4VY3v9lTKO7+meVgl8E8hWrbBWCj/zOf5xOt2HLHRa+5cp4cDmo7WPhTIin6xrIsLt8y+
v/8QnWo0vmpe35zTpNsyBSzr7+ASof4hQilqqrTYisyQLwPIokgOI2TjSvb7TFYiGuAFvpw5+InP
1DFiUUdzIjSK1t1oTE8JxN5wGQG5tiQxh2aij5E5OvBrEixcpqWVFwegyNXUTcQ720UdWbIEaaCP
z+//nBO395iSPa9mW7XjJHY6FJHATEax7dda3voZKARkEGUY65naJrUhzhzxxBpzTO9lFjkUGOjR
BUJA/mQii42sak4uMYvBj+vW+e89R687hzc32WgmQKzm5O5wlNabtDTLG91QY9SaWfHw/sUDF8nC
+BdbKuuoKkDFnBYeHN79tPo6ZgDV4BbuKh1CGBuUFeqMSnaOVwofbIhW3RiQeBQzQ0YLG8vJsojW
Cmo4IBxswXDh90bgzi3V5pSvddATkHjJ3H8MeReII0oSOrU1606oJeX0DWs8YIKx0eLdANnqwsR9
ieiI8c8PWF/9FJCe0d87nTbe0Uy3HktMg/eqE86PFHuZQV7lWGKel5m4mVDAYGQepMKJaZnxXeVr
ThONgGc+JKg6xihpRaO2WvIdgUbdhNUSm7f1YJBRR0uC8adJ+DymfWhy/jp0CQAWWuTuovOgZygX
5o2RFdgwF88t92qdESRorrYCnl+Mwt3EEp4hniSv+gmkKI1m19HcKJst+bUf9ezZGzxExlrX+4xC
wW6Cu9TW+JkbOn9q9OrDINLp0lmQdkjDv2sTeGPeikU1sPtUwYFbhMZQU7rmdTPVcCRKzNpjEPsS
KRDnl/1QZWlcE8OBTU9YKlYR+rx+K7omfYbFKpFUxFi5QierynRj1bbxxRk685JYgG6Tppj/dqCQ
aeOBm7RyUEBTb2Dpiru9pXE62aSgunqUdel9xZfSwMqvcitkTDf/bPQWBAKq4u5D7uYjKh3PL+OD
vs7/3sWytMLV8ct9An6siXgPsckxpKrAhVhJP90Ovlb+wHzmfCkXOjSBJgoXePJq55+8PINvNplp
8XnKUscNwYyQTqvWyfs4kO+ehxCg2pdcLSzhK+mpDUreZbwwADSoQEfIc8jU6EwwNy5hF+DyBQoJ
BEAlFnpt+rIYRsOLa4zex9Y82DxRXWa7WgJgitxKwkUZ6twJZV+jCMLhigLJnqwcpZXn4LgTyaDs
XQlA+4ndeI18UmVdvmW3DttirSt73hUTHljLGi1zA88JO7CTutnNJHDq08WY9IcJg5obNmLwAui5
6cfEMvgXPAMuQKi3s25djOuKgbwgjqTeNJWPcLSTWv2SDbbowlkN/rfJ9bexx8gtbLHC3Xv+smD2
LUE4jUA2rTDJ7CnkMziuQWaU8noq26XY0vHtvi5jljxLfc222ljmhw5vCtBNSN2/HJnkN2Hnufx0
cmwQhWUHn6tFF/BBuUnr7dn6MHT3+OIBT+lbbiiVjf3iw3j5qMUSoBZvhXuZm8ZMuhofXBmAJ87v
ROOoL7HqxivUDj2rNukWecgg239MMqlhLW6RYqCq8fv8A1OYZlfnmvMdckEb8SxoVaDiaqUPXnTZ
R1gB7o9GOQUFbV7NXBJfymSTDXWDgwAGU7cd/HZNqGjiFlzknAEE0Ur5kDi1ju2VnqATAvWLWa68
Xh1CwCbGhU264qDUFTwUrZvRodLZrD5iF9BsnPip9+IZDV2YQtgdZunpIA2Uju3cgUXF4NIUoyij
3B3iHTrdPt1ofuys245G+21Z4dwMZlaQDEf2arDU4C/HeVVC12eHsWg4yrXWiEoLR82mWb1ha+tx
+4SdDCvEqLvXhTUV3jb1KyhUI0RwOAHuul0yX2fCjKOcppsty2C1TWDPZs7T4OOl3iprmG5GW3pZ
wN/nhSZe7H0fg3a9xEfZ2htOHcVym/blD98fJxVVk6G2kob8V9/udZauYgB4N3RQGS8sG2lmUEmH
M+DxHa/mtUi8AF2gc6frHsA0vx+miwpaSkYgX+Y88NZ3qJdTH2hgxZO8REsCAbNZa9XvEiZcL44z
3nhV9ynRRdZHpB/5VzPMhZ8V/z1PAjrCQBh1dmfDDvkepwk2ojFvAULw7XUuEqwn7tZKWac2/poh
/qh1x31oZ1lk20Y/TATmEkqp6Cg2SRtUY8w2YGCmBvZtIUIkp2aBNWJ0AZ1L/Uu8TGa5H6r4rsss
966yRuMpaxA6rIWeks5strA4VA6GF9aT7GNkn7V9XTLo50Fvp/h+1kvHBpnSGl/dxlfNxpGoHJFx
dncyNkmZy5aPaKUPii0/r5+0YtVyJN2p/FHOQCtDiaa0wQ9RVN9K/+CJb7JiwTUe2/0l3XcYlAaP
bLS0DTTBOfNw/ppDoT4ghp0+pLk/f0saWy47b7AwT4vCwYtcdtm0sC8riS3hk64zGW8SfQ/DtQhG
v6xf5qwfn1aYvretVcJ3T/RkJeihnjqIG1qsjeCD5pgYL7kcfNoNHEjdnQ9YJ3BM1q7FrPk95d39
SmHQA41kyt2i8JUxYucx6dfDlLgAGOvHPuwYqJEXABtphCMmUddIapwADam1Y7Kk4fLPr7Oxb+tg
dkz54X/5Iw8GVYO3g2NUfUYqyE9Ltbr9/H5BdKJ2f/WAvqm51jJuceq73m5dF7ovvrgr5wUFcbye
Ey+dOsLRZlzmlWFpDI92wtM+Drll3efk9qARWvQzjYVT9enRVryr6pKZmc0AIINFOXmyumrmxtji
Cm12BvCoM1vZEw0M42ivHfeWLdt01nZJgUnbVheaMSHlrtIfXdYsF6RqumdER6/t2r+oUl+7Dm9u
iyDMSMfzkO5jhWMTrmVy7/r9eMekSQTrIMXeEgrxr8zrGzxoVtj0iQHcICV9lxfkE7HBv6qpZ13O
huJ6jGfjU15NFh4fa4oAZrkbL0EcAsWNoFUFPBXJudiYZSbuLXgG0LGYtQJUshEE1u7FpIH4gSVe
QQYjPa8zYF8YvlneJauR7Sy3LW5iVzBDVct0PWrAUVNXry6qsmA8XGasHLW9buoprzZ43QnlUihR
qLYH5JpyOdeSOeyo/+qiHf78zUXrkjJHoVhqu07U8sLgW7pp5jKNMDHKyAblSKz7gtEW0OWlzAb9
Q2oYfHSAiJ55QE486ubRkFQVhubPMQ+igx+BBKjUp6hehi0177mJ/+um+i9O8lUO8+YkFV5XMG9r
sSf8y484v2XbJvSayUFIvsc9SuAmXydspt26aeo4+apIL93ls57DtluXy9Kkjou9PtkBRMCUKP34
Jk5UtmVvgj0x8e/BGJcPxdB87x2IOu8vM6emP68S2zc/O22AaqiS0Qec22EzIRAMq7GYtv9wJK+D
CztBfJ+9zrouAbbs/YwphZnpNnt6z7+3DH++RYzLUwjp5BFmEyRC6RtnAjZPrCDm4c/f/DovmVd7
9bmoEDPdB18odAe0DUOiTLB69a69f/8ynFhBXpXib45TJHpVJMJ0d6m/3Pu22ewKiLoBoLYYVAmp
bgn+ifcPdeqUjhbFyhsVfBkz3un9PF4vKNBCSsNpa3o6FjxsJWcunXFiQ/3asnl7TmbSmX1cxbtx
kr4VHdDPd0zGrR6wpN0DnhCdGXlD6RsImKV8Hs2xQggm1M5r2pGdwVIY0ZQ7zq2fM5M5c/onftVx
/p+VJnKwtSnd92Vn7OqMxhTycDN6vbj/EfDiJvtO5mrza/hvCrsgWOjNExc9D8//4ye8o2G5fa5+
/p//+agIveGf3lIuXv+Tf2IurD986PWWS+aAqcNh4A79iblwvD90FwS9b/HI+yZZFf/CXAggFwf2
hUdTz4PQd/gw/km5MP7wcEkiIoWO4biAn/8TxsU/wmD+vY464pAehiXZRhUIOYMAv99f/cQ0e0GK
tIfvLTO8oDVXF9u+CaowKCFAk41jlC0bOD2mhYIu/nMl6vnKAWZqYtcGmr23cyP5RFMJ/o/MZL0G
hV0WZmiwh9piQzv8owlGepM7Q7bNx7TCyjHREqz7Dn5R5Uz5NxDWyFcq9uzWzgMeNga2C2Mniien
ulpIcn62ZwCxgeMvlQrAqaUqKMy+cSOKTMA5bFEPg6EcdxQBZaq9w1+kN2CyqIbByM39rlYHi1GT
ySQPcpN+T0TXdGTCr5HbEZZeb7/AiMVWNzUruAwlIDddJBJkXwBatOwwcNdr8UDtvkJuSJyl2nie
LMm0aXJ/CjxLUObzxXO/Tx5Q7FqbpnULCaiaQyOd/Qc7meNftlLJx9iZ5MfeajgdxGTW514l6Qdz
NmfMYIOqNsoygd+OpDyyiSzi+i6vmYDRkhj76sDWTpH8oIb1LtrEnZ9ppeefEW2Jb1lWt7CL8nQW
oeaLtjvkjWYqan1zJK3JWq3QwGFw46+TeU9BFX+YzNn93CSqPAiaivKp6isy+HSZqSd27nEfETDm
3XYpuQ+hNXj+l6zUx4dyMLs+8pOx2rWtjhqkrkSyTaj5mZY1prrsxzKDWOjXGgxHfIeQ4kka6W5w
eXlrmGFBPSCNEhvAnW31j54huxQ45lg/x7lnymuwt0wpk5JcAyR9vv0rx4CTEopYe1bUca7eJnft
dYjoinRL5ErcWoFae3veQmisHywjPkxUR4gKSJNJTMihxhsHfxcMM89qs586AXNfSpjK+W4herAN
wR5r4KcBe/vsbMtcwbGrG/B5uE6LcLVsgNR6WYt4y3sk4Sz3hoKtK3WI0yvRkO5VisvRA0dq5Olz
bSgtu0yyZv5VefasXUBAStixIimpHpKybemMitJ/WLp+AL9A+FakbK3/Mpeo5C4NG8DhBRD0+HEY
FdHJkT3rRD54No2tFzANIr9azHV8NNpp9D7XtmPRtszYTDH3ovTcd2R8P+JTTYZQEdeBUA//HvDe
sivbD5pAqZ7jcKu9LmRrtU771DGT2zFmfB+QNpLgpJQlVrjayK38ejpQI43GdKHw6ToBgzIZ2L3i
2EdR4LfJOtzHuCkFJAcTD0QOSFZb0T7MMBVFk9pFmMk8r7dDl6MAqJfcUJdj4hCsoGv0wKC91fZM
k8pJkhCF/ngtGzgxYazhV4Xl3+T5xjFbcr5XIS3JDxT6g9Gk3WPu6wWk0sJ2Bsgqs3wSMtFc4GuD
/6OehG1FcLu1Z/x7xZ2f6fkQkJc2a1zM3Hq26Vp+m1qsngGoyenWZYLBPjxO56d29bMq1EGgkygQ
u6sWtEk+alE6N6gxW7Nrv/aWsXYozaX4ijKZ9lnnOMsz7fr4CynOyU80p80v9vPKCtrcWW3aa+2S
bZqBBj+1OUaWQPpueg2Co++vPCsufji6BS42p3K9A+NCT2pORCVuO5sOHLCEFbYQvWfvxalpiYdW
4npwi2VZ5heJZ6mHzhcIRP0cAmdIk76rUYCl+KuboScGTGMQ+tTO7HU3lW1dFdAw12gc3QI0nmM6
zk6SLEQvKEvcgwnKlRf+6pdEWsB9u3VgVfYvKE5ooCxJatobP/HcAQK5Cyi9I9DgcgLV5dJTbkZt
w+IWZiyBDLbXvv/Gdot/17P7TgsXfdayzeJMN3ibKzvIJV2IGTMg8n+P1k6o5rj9xlhg/KaaGuIx
bA6QgWW3ZC/kooIe1HPHnwPip9NuM3vVWIV+bVptsEC17HZe39P36pu8+2zKpvk5inr9US+afoc4
+LDm5JCDo6U0bZ58SLU5jtMSV4EaMykDn1Z0HRQGuclBmUnjlzM5jBZA6jOAjbldDwNO5W/wfpcN
ov7L0q290O8KuplpXi3baZkF8GtEf082SeRZoKSwH03+wnGvz9h1ENs36iVTwsSpDW7/JZsG2hyx
nZp56Gf0HwDUH5yMq6hiDQZ6512YY2zYAaju4tM4uA56UszjSUS/wr2JqzTBbN1XBw477GF493ai
dnjkqi8i5vwusOb7uBCWId3hgc1oa2sTFIXBHXPCGMWYPmm49D6PmDmGoKopA0AqMhl+sHOlE1+y
tB+SGmcRbhwjpS00QvIMmqZqF2REh1SU/19MssjXv1eG7JVPo9Pun/vnRD0v/+U/+Wcxaf9hOofS
zyZvUgBkZbfzZzEpzD8Ewkp8IJR0YH4OG+Z/MtMM/w+TAEIqSvvP//Nf1SRaqT+ELixCcSkoCZRF
lPd//zecuuRnQxWwJDCTjv73WzLZ7zt/hGmQ14jhJFnRcIRH8OHv1SRlmGdOIik2VlI+1jAcAsHL
xyQxcf+x9fjtyOePBBKdhEVm66+dozfbLnsshAE4utggp1xuW6U790BmbDoejL7e3IM/T/LcoSxd
N03BFXSoGX4/KaKE1WAOnBSK9/sUx3GoGc6Hro/PdLt+36r+4+JZFipy9g/C5Rr+fhwf/JNsCj/f
FLMpS1rXvKa1mRpXyAsx2uaI6d8/sd+34X8e0PEEmxPHd4le/v2AI/MpctDAlzp1X975jfcNMkh/
o3mWvS1SX4O8Ks9FfBpElPHX/nvLwWE929e5Z56rG94/tj1vuw1xJTvNl1a6AU7k3mtw6n7W7RIj
E0J9ajGbfBzndrpdDm06a5Dtno1JeTnj+r6NXeVEDnFZkdMW1WffyOQ2Z6Z4Obq6uF8BxYZ2BWEk
XVR/4VOY7GHhu485I7WgMchFk1KWcbhW9FeCqqEL0I6ld/n/2DuTJsmNLTv/F60fngFwBxxYaINA
zFPO0waWVVmFeZ7x6/UFRcrY1d2krN+mZSYuyEUmMyIQDrjfe8/5jg0r9T1DI7oG1OxmcL6Ksl01
adX5+kBxT3rNZLwFEM0YgKbqHbBfvo1AmEivHVvtCvHW+R7ogfyQfHUxZmdczXmTYlvq+m4mcyHv
PlWZfUXpkKwoFi9DqyC6ACldYZ11UfyKLuF6kHTELJFOAUOUIxsa3CAD5TMeU+3VkJFzsRTJukYO
Ws22+xqIKQjrl4JD6Taem/iajo7pZZUd7yWD552l5596WZs7Usxu/JyhDV90uzQ+G3p1jxV1DIyH
CaCPl8/zd50JF6fF0SEFyBr7rSZBbHgZEWHkevQMx9wYPMIq44BytRK97pirTBnyE5f4D6gtpyiz
SC9CfJP67HDNG8P69IHz7PikosrYO6Qk+abGSY7DuPnNXgRysZiY+LYIY+EvQaydJjN0YPXplteM
Tv89hPXvBVFgPN1yKOhKlYEVr+YuT052iepryLNg3zAHWZsLTragcdtDhKzpmmRNeAcaNNgbCjAS
sTQCFmGuawxT8iwjwnC2Ninab5tm4BSs4swcDhXQjsc5t2py5YkJNrw2ytWhS6zoPTSEbXiLQxW8
DJmNiD+dNjicxMFVovg0w5ZSoOwS8ztbNue3NG/73RigCya1p7E9QiCcnRHH5H0wOJrXVIKGL/Ny
2OplfI1btdCfWvqvGwXxkE8uWjHdHhEgCtEYD50OcbTX9faYBKGNMpGLu1hSbOJ2AS2sg/QYSErh
7FWZCWPIrKvfansI9/aQCMbMlJK9q0XKFz0ysWyArzLk8eKLeRjBzxjWS0cc1x3jLbQBIYlIBGAF
r063gIg2E4A2ErQ7jf70xUIN5Hh1nX3MGlK+ulQVPWznR2cUHPKLWL0ZpW34lt3NT7Gbhw/FYNkn
e5Duc0ArYPRC29ly8AsPLhS0M3oOBwx2YOjPYon0ay+q4GIYsQPQgazYxyiwdJ+JU/AVx2F0nawi
WS2zSo9uPKX3EBXbNyo61YGlqepsTVh50ZL5IquITC43T3ZdMevlZiyGTvdJflk6Mpmjm3W5SVtR
bxkg1jWsE3vK7wfdTCgze7JJvwo3G7ONGIY+2BZL7RTbwML46glXlOU5ojrepQIu73OaCmEQfJXp
Xy1nVHLudNIL1mFs6BWjdEA0Z7YUrvcSTqlDUGAnPxby3Tp/otOiNhjY+s7XAgDUB5t4shaNgXOn
Q6hUCdHFW06rVGQN2IzRX1yQOLsCoFP+yWS0f4qHUqa+xVlMrS1pyjPgMhIJaCDn4wHee1AeCpzg
rxzi5LA1bDF95gOxth6NSAuegtlO33ud5guzt1a8jD3n3EMKav9nXrXzozHnkXhK0oBJCUU+CRwK
QHu0bzQthdWucgiCUQJTyOdEkD0g9oE1HAfPWHWbrY72iwmK1FZB250snJzMfkt44q1Cz9E1uKRI
91s1rqoo6sdDSKupRmKyMnCivoghbpCoJ8lPGc3Lilw64KW1C7OT5TTxi5WjPIlDaUsteWioH1bo
+fSj1ts8L7gee23QfgAGGU611Kq7juYWLseeKq+0AOdrOLNZ/I8py6skMWUMMQrovN6W6DXWXuQ+
tX17BUWyC4rcIfGF/LdNXrfbKrQPpppq3yn6wiNO3bjCYX3pb9doibbsQFBGyQvrxqMdafu8Usds
yl7GsX6zyjreTsH83aqNTwFwnlyzrdEMJ8Ounh09Gp7Zh7b1bO90O8z2doPUj+Ft7/UjoJvAHCE0
h/0evvwWPj+NKXt5SWduG0BKt6Jg+czi5lSm6Zldctu5zU/UrttSyKuUlZ9n1WNZZ/eFIAfe1eV2
tMU2ppP20fNs8PLo1mlQqBaRgXhp0crLUAQ/Izk+AcC6KoNF4hb3lQnHUJFoU0YuOYqUVYTSke5G
atYmbNt7p2IdDctO6TWWp3obzDVNtiT6PukIyvoZyP6PvkJSUFuuHy3ZC7Vp52UWVs00owxJgS9h
RIaqVJwsa3qPbbUT0iJ6alqJkuduaqwzONTkW342A+94MU5ROl8xex+aqK09hGqcN6uF36g3bTPi
DlTXrh0BdOn2JSxN9n3Rny3pmI9SNWsL5149TE95OKYr4iPKc+0EO1phrCMz30Gf2cwVOCyVze8g
mCpkNURVjt1aQnv3TIM1HJSauRoZTNE81OS2n+rSDyfSF2YaEStjZPxUOoCklAWlzCXFw8kIWlLm
tkQi7SVzc6dFFK2GMzirSsjm2kOUE4PEohJMojxlC9RqIOYZkTnkESG685M6Il2Gnl1scTTU0+Js
N1q4TbNic3Px6otztNroMyvTr0Lo9UMkw/WsoKRJ0zwktIqGm+YWcxFAdec416G4JlpS4GrFbckL
8OETAkKCGW+e0Deq05qNNjmvczD/kMQ40fKw+1VPTgaP0z5bLS2BCnZnqHtTJdWFfkvuZ0hQYcQ3
l4pgAG9yNSzOXeXu3dJ6o/rmkrXz0VVJsLEzfU9MmL4Nq657GJo+2JRlDVNZC3ZEUYyfpjZF51ot
6sCA9S6Ii92sk98lG3M5p5q1rx2t3MXjsm/gjyDF0z4Ee/2OuePg5Y5xpoK+LybgtQ02eLJsEhh/
uoOqsbowpGzfUO+K1dhkWKxbczsHI0y3NvWJHHlDEtBumomBNzI2fgdB4+RM92RJvpTG+ECD7+iO
LdIXk5QhEhq31WiaF0NpZ0RacM1s2mokVD1Os34xxLAXeXXvipkg5fY0QJKDpWaDfXGjYtzWpXNm
fLSsHR39Rx0ebdnsymm8lrVVbObePEmLDtVs/EzjcadE/VBHwQtt+gdhiQsxmyeyCe9Stx82w9Kv
jXm56QYRX8bz9N3WiYJEaiRTZ+92zY7sIJJ05EnjdsUdglGnTc9lFF6yJE02jhNfysH4JqDvL32M
lipBrwbfwTM058OQ9UM4G/mKwcWV1vFaEdRCr+PatFmKOAQzebRoJ1svnrpF/4YEkCC3bCDBaIr9
G6aEJTtGh1Yg72n44KHjphATJ3qGGXyhaOwxD3Fd2JeWE2Ks05Jwr+M85VlY0rghLEk8qLoDF0bb
3JE9yRwpHdyJkBCvqoAOdVVPmlplPmstUbZIytZ6sygv14d5747SXGmN+aU7fInpTUaqSfr0qfad
5EV9A9LIPkA70nkots9ZKR+LqNfwMA3MkEdQf61puZHXiCa+t5qbGoxxDfB8cyElBOlT7wzfiaQK
VsVQwdcftUM8auuFW5ul4r61WfExNYWv2mR5XCYEW2AZkQMoNifwBvWmGrEzIed+tbph5k+O70iU
znnGfqNs1AMG8iz4C62xkwsgk25qky9zUN/MLtvOrXacm/IzYNS/npDF8phaS5vLm4VZt6ls2ja1
bSybJKJr3zgIuupweGSUwuZS2Xs+Px/FLi7Eef3Ipvbo6OSPDPZNnFgLIOiQtRFdYy+YwDmf9cRV
npW3mkesQ3sk1RGwc0fLG97lrU9ulMXOTtJiWxKOSS6YXiWcWUNo/zV6TVHOP/Klr3yyECNU7f2N
PFkV6DDqeku4glXQaE7gQ7X69IJndzrQ47W+g3Ilk89tLi0cOmQZTf649Pj/l0qDqxsF5ilnfE+d
1dn9i14og34b52Md3PK3goYoMbZ5ZKxzUTqPUAk4AYTUfLd7kVUX0oimx1L+IE1sOWlVbL3Qr3Z/
KuSu2450KIhQOfomImiqlROlnbt2bgiFcMiih8gx7c9Uz6ZdI8UZUFu0GXUnvSAtiH8kPaM1X7it
/aHZrrai5w+zxeBYvSIeOCV9qXb3hRNNuKpbfd6TIUrUdDKZiJNQp5DWRRjIKSLt6AC3g2zMsa79
AjDZXeDYw8YerenSpGX32HWtdRXwV85N6r7DiytWqD3kjyCDwIg7u6O8sUObXF7WaOl25anhKbiV
XXkjJ6T2YzMXyZo4XevSFRotPxI7NkHd1H7FwAV5vTVci1jaLzOZqji9I3DjJGC3ZxvG7bHFkkAa
HAj2+8oNcz/F4bQSQcztBCTxNZ4j88hoyLinOYDIluyb9IwUO37SwpTjb6DrY71KrSDdsGLVd0mC
M0ra0nmdWIU/leqb9ZCM5rfJFdlJT5dqhcKjOkZ5E9P9hQLVe+hRW0ZK4ZgjQOHeP6BuDrdYBdSu
lkFHLEWXrbNY/9G3tdqEkP6Qx0TOUzJN4lq7Rv04Lqbmz+3I8Sw39hHRmWCDna+hMYI1ijZ1aBeX
L3oyGz/Sq3JmILr0D42V37oaKpnqLRrLuvCn2zd1oGdLeDI3WMSpCdcmaY7zfNJzU0jnZ4GqzinX
jsVyuFOROc/9WZd1bIx+zVCRbOW8g9ZP8icUTrGu5xQtUkZkGDi1TGXoRSfNOLcNEP07O3WM147c
POlZzDloHcsyfMjlfEIfxsM1H9s9Qbak7JgQSrdM8hggzZag2IpDsnhGaAzKLtc2756DaCQ2RUCq
pGFk9alyyLCyY6f1oXqQYDLX/RqfwEwgFeKHHhbchpT6cTf0OseTZSC6eIZ9FQm/HKtiw6BH0YJJ
JHxc0fn0CZ2TMKTjyT64q0dOSwY6Xvxa7rQt2fiXFcayGwSXryuthi0fdToQGlptKfkf52ECrRqO
zj6YMTcOXb1OujE8E4n7Lp3lhx1j15w14BSDINMGAK04RFWwlc3y4DCySE2hH8JbpqlbMnSaQoLB
ssWwNhNRKesBruaByIfmXHXOuCUGMzsS6Zjh+GCQqM1CvAUuah3u522oWwAQ9LjYEL7cryENzeiO
5FNgcggmnW7Tx4lLRWEyjqsmN1ohEbaPncn0wLK04dzkqtoEWNj2XWmB9MwDk72SjLwLs2B7dAwi
J0rNVwi4PctavsGaZOUxElzB0rU3s4HZxpvNPl+R3nhvSXlsrNleE6d14v0QODC7pt+wjmqvdMvS
rxx9D55WnbiVJzZM0mS01ODCk7F7barqMsXg0yJb7zahnNxD7Y7G7NHESl5bchGF11bhuAe5/K0q
W9u3sy4Fs28M69ZJy+0013It2xAQqy4Icx/bz3heig0KXQRhsaOROh/G+2hx6mtd9g/MYG1fNeHL
oKNLVfOYrpt6/pi6WnqVPjCwwomx435Xu3CymbzULrv1oG/KnDbEUBjibc6LehPcpFETfQJvdMSF
VufM3DprfarKnGRRQjkt5HYrQXAHRyLGdRvTlF7JiYMoUBZmqKeB1xAC4alQC44Uap/ECP5sgKOQ
mgQRdMmzSzLNzjl2gytOb8qJxhzeSStN9u4cTZlXDuInFkdgiDem6zPoYILC8/C+6vT45GhQetPl
lnqpo2pE9qG/GzyY9wTsND5IXXXmEZ+srNppd5Qx2ZqNoGcgpDLIfbG5nhtlkUFg3azrxvS20F5d
t7Yzn+iD59dkGmcKnaT4pgXBeC9pzSNzIDcKGnSRrivHCPYBH37dMgZc12ZHnjYt/GDfM/E/mDr8
e71BEOhWVkK6WKPVqzDX9Gen7tksNWGv47zoH0m6Fkdq8WpdNlgQQ3LnSXCo6zNxke4ed7SBaWJJ
aGwm4FbRobsVzoncCS6aPRmIm+uXuU+X/RykYjUIxeoUDQp/IruZ9GefJmaFFdsF6w1J+CLFxQgr
/Qrvi5hI5XIqUzXp5mSJIar009lVLwRkgihYzHBLqo92EK6NCh6IJE2I8jmtaLMvQG2CMlKrICkl
h0VNW42BNP15Eo5nWKS0WwQ6ts1yU8MnGHAS3OQkJHEEjbg9PGtgpUgOyq3xkUtgqaIzaDoLJAHc
T3f2NMC5cXJn06f06xMjQovoVPYdEJj8IhtxQcyctd6Cs8hnEA2MvIyfu8x4NsAn0/qMKORLi/Pf
LYs5KBqeEiwJp3F1TwxE/Hb2Sw152INWyRFm2UB5R5Vf7F0SHOVUvavE2SWBuBOz84HZ9htHKYsj
LikS9eh010hOX7Ja5CaRbb4OpKLsaNtvUTgiBCXXAt4uRV6td3ujGa077rnmvJRpd2rY4nd5YrR+
hQB7F9XhtLYrHKNhrDT9Dsp0epjH+GzF86uo508tqXsqtnF+LBa9fZAjDY66C0G9Zk2OtrYzr1Wf
c8yE5Ox4+Awwt8bjsTf7cVNYhfsatPP0CrPsltbqaGdQEWdCbqWnKoanoQNqGXDyoz04L8q1j+gP
sk2GbSdLLXa4JrRBAdfvhT3XvhmM22qYDgraBocGn4buaVbS+ahn9tE00n3qqd2g+seRJKhucvw8
XR7sKqvIK1MbK6EVEuvlGcS3ydkXC6OVdNhV4vh+bFqfBrgPAtwnxGvyEqIsxiLeq8m6qNh9I5fy
mIzWqpImcsbkENZy5yz50yR1Z4MwZoU5cdeXPC/d+L7V+qchqp6bol81pbOjp7qJ4KT2tEPcnCzj
NvazyN6MgfGjY0DQQruc7fau0BbrwzThtSHAzgw2W6jlvllr6zJs1m05L6+JynfLgCk/suDdz+uK
g3qWaUDOuXsL9yiUscmDAYj34OAMmlasjDvHFRvXyl8qCF1R3LzDLsS7QGl8K22W8IAbDMFWBZkX
mg8xy+9Djvsyxc4O7KlqzM4TuukeZtd+DhAjWa65zmTPKlp8BLkA8ioOtHD7FJ1/22R/Q3t1M3h5
Yf6Vi6q+TLnb7kYCr9k1DmhPqrdRiEMOwS4axr2M2NXjYNqHofCjEmu7BFFOc/fUlcWWwpS1GohT
gQmFhsFqitrVwDtNw/K9Sho/TJBquLGfF9Ud09A3pfEYdEI2bd0+5VbxULQ0kFwdHQvQDA/n/4b0
OqYCBl9Gv0qUfZpUu41ssCV9didEhdMqIXwxYm7UORvNTYsTl/LsWsET6c+cMr6L0Ty1cUyofXon
R3mskz712wy5SpDdzQ4ym2Xij9B9pthxzQE/dngKAVdBr88f8TKds5nuFzu66Ex/qfMb/UrHnTGK
+zBCI7O4HzjrMHlgeWXzoD+q7SYzWQuxmDgsJlLoyAl2Kp4XzpkY7iMRG35mcS9r5b4IKPt77jF3
YvDnVSMxTezy91UWnsSQfIxtfzeHRcwIoTuYCamChuU80FifOQZkfhn03dq27DNwQ2x82q2BCVWw
KIfpXqQmbW0EAyi1kjs2/PvM7s4NR8pFT2kgmLTW+PTpgFHMcrsjHsoH+Nq916jhWGUt1joasRC9
tzEcvEoaxynvi1U7Anmk7XQH2uIkwWut7HB8GKz5MSKJWSUmKQTYWgvRjuteNJnXuTxNCZnE/gNv
Y9PF+i6OMCQK1hW17dpOJCH1AVEMaf9eyv6lkTw6tQzFetqSKW/OCi1a86WPPbtL/3OKpj2h5ntZ
uv5UxO9DpO6ZGD2bVnGLbuw/MjEcl9Rx98winiRPrYrZIDNOzCXRt3mYD9GAeS+x72Y32YVOwOOS
YY8Ru5HfBO5GGc3DaNFUMEcXuHw8HWtp7K003wau9ews2lWZnJNLbQnRYsnHPi7aVYDNR4bZeRzy
Hwnszak2t9WkXV07+nRRZK3ou+wDSeF3K+VKPvqolVdqE1/oJCNn0TFwp4fUrh+IAtWJim0PRdVe
2P8+yhgwt204z1kYTdvc7Dg/KfjzTAVXBFtfVZOeGgxLpBsur0ywvTGfjli9rhhNF+qKQD9hhI0f
jZA6XCOW4rKQ0wyftww5aQxm/7jE+VOajNMqIi1inepaOOMbaii7ZGDslYuLwNDT+TQaOmogd7lU
pEbunJb7gvsj27dzrbbhJB2MdqLadbUynufbXJDcGzr0htPNnjI74jcmlD9mX9DwcRpQ2SPH2TcN
DuPConOXY6wL44weqiOOsyUHvAQdvzaa5nYEcuwNg2SGyHV2S0DJosccWu23VJjJXTbXdH1Sd65h
YBKb3sex+TDMsXUnFKHzSHncEHhqqv8YBpdODLaZngdRECerMABqWevRtyyagmYXxETlYWAI+3dt
rAkklmM53pEwUI24HJ2ezYp4B8j38TfAJDD586K5r5ke7srUVI8idpdXW7MApRD3c9Hc2kC0m1Ex
u3G4+O0gdaKcsumO1qF4D7RI/xjpJO9QVKGrsvBC4R/Wg1XCGC4japT8mFx1+SZQ8fhQ882sZ443
66BqOVSZ7GFFG8afbq0w1rRL79tTN62YqgvO4yCn7aRDKdxPYsM4ARVwGbgPuGjh9+stdWPG4SL2
CPkUG4MuCQ/2YTzLwcQMO1s231Fhji9kvk/QMQZ1GKzR+YwAI27QrE1PYdpLz3Gwx48ym571vkPV
iPguREDmlzPyKa8b2QAMV692rVn0B+dGvxjj9iuJog/VWd01pnuwNsa0fupzqfeeLNsBhn9a7uel
Tx8bi8ZqNcY0Zeir+ktjEFBfWsUqZZSiIzTkSmQhQ0kaqJZavhXMBrGwu+64n7Q221Ztx/NHX9RG
OXV1rMum4Abi0VaHui/JRS3puW8m2m4Prr6kx7iztggT7hkNiYcoXzgHg5Nv1zqqHn9yimI9cNp+
ndoJHhFW0bXZdgWoDov93wozGurxTPI5LVTfFLSaBkGzgYBU50zctnYBroukVQ0IGT0LWh876JBd
zXlkZEbg8FE208jeMQa33eQWS40rtr/ErRDg+4zkGEQyuddL9VE3Zr2h/9NuwtTOtpyd3JWmrByT
acnG3gPDvuiDKmNWQMuwKQVeesCv6z66XYp1su3L9msxAjACYd/km1qN/dWp9JxyzcZ73i9mvx1G
d+HQz/GNEl/J7SLbpuNYgIiPyFOksHBshTwHzSQPLWaug0yrDL9kvZCRYEdVOmxystR2PQPQm1w5
CTj7m418QuFnVr41iWXFxJAOQBcu7jXPe1zG1azNnBjR/k8p9vEZNeyb0Rr5Lh3iiBC7EZ9/11nn
mEEdf1OzL1XQKt+Chsw1nXNo3Elpev9YChQ7VW/QSnDNGZWpE+pmwPM6oJQos8B4c6GjR29CKTzU
xL/AkFT2hPf7H11k1EbNKHIdDgisGG9Ao2E21tX6xa5V223/keZpQkAajYoqITzTi2JeazWzxqcV
KM/oJQwIhdn8phX6/1aP390c+6//+T9MiSTrP1fnPSPF/0Wc99v/8Yc4T2DnsCxl40dAK2bZKPB+
F+fh9JAY0JCCoCKTtu4iifpDnCf0f8K4AxSLCYS63PqT1UMT8p/8Pw7o09//qP0vifNINDd0gecD
VKlu/spTRm49SHKuzfWSF/p7m92aU6T2PXUE6f4dTvHf0lnQeN1eywDwwCdWyBFvQsE/yfNmXSfk
sk7FmhCr1k8DO74bTOVsRCr7bU/q0GOalFQITbT8jVrv36nLbq/MaxomakbH+RWV40yCQ7IZi3Ua
0j4vrfzWghB/8yL/Tud4exHB5yPMS1fmr/TmXPadSEteJLacR3hCCAGGc/p3JsdfmKK/X8U/vcwv
Aj1jwHJdubzM2AzxpS8QWIx1oz1VUktjzNxtvy0nRWc3ynhcWVn6ShzJfTT14d9IE3+hjP/xTvBW
3IJ3LVuxtv/8fY4ZkAFn5PscV0jM/XZVnrUVY8GVtTX4N9z5cWOsTI/W9KrznXvqylX+jYHWgdH5
/u/AZv/hd4zU9I93c/v5n1YXYInYJsRHrAeC6inmrZN2i1T60839fyH7VDq3KrJIly8Yxa3zizNK
ynkcA0Lo1iSAWBvNzLJLxW4I8pZ4x79+qV8/D95gg+BiBLyWYxm68cvVlaINOVknQP0R/3l1avKN
dt3fSWbFb8kQf1Ze8jpKUdmzZi0Ea7+Ggeo9rC32qoXUpSkhzV6bo4VQqH5uPRlFQbGVQx9F2yoW
8pugAFlIVQtE9YFQkERbT+lONyCr1ANOi+MI9n9yogAAfwDh4j4d6pqkFAZq8koOaBri9amYUzXM
tpm+ydaw2KRM1R6bLGZmSaWZccwrwPTc9yJBQCPnWaeRmgxpht0hM51zPnNl9oSgW6sUj/nFuVVb
rnXCwhVSHdZ6HHugj9XNUDQZ6LzUIH2Eg/OzGjvkIs1AGhD4S63LdvHt39sqjVt3FzVTlTxCBq5o
64w1Ok6nrqnoqBPdl6DugwApWh+6aF4Mi3ncbA1INrRYS77nxSLRCYwgHpa8Q6kfZZWeruHwALnT
8kp7cQzHLn10BZPfhEWbbDsp4wYJlRO2mwXKiLnS8wYOmaZKOAdJxBmgMnKDHL7WYW4VBeJtiojK
wcsed/spz/J+Fy6ads4WVaZMhDvnS5ZTZVxhRNADIMOzM0EcB8g3o8yIGcz0unaOpeHUW3gAtH9G
O3O+XD2h6blV7uQcQ8IWXN9VcxtsNOHUOqrjLvsUiaDH3OTDMm+KeELfk9IwIPe+wcHH+KjQbmJu
485szDjwbHt27mpIEndMRtV9Q2rdN4t7pFxleJke3CEiRnYks83y4hTnFfo3exl8QZL7z2gSkCws
C1wKnTuMgsQ2RuNTClMFQLg9LqBGIuXA5DPqxvCGysy+s3/S3x2NoX6PZdHlqzYyI6Q7mkO0KUHj
3zWmC5dQMj/yuGFxlkTku6l1pcKQo3gXZu/SLQgC68UEXmkE5v0ztZv5TOc/+B6GVXvHuRvEzRhP
YbMyVT9cx7kqXtH38YANqzC8xkIQZ6iK1Llv0eIvnihwiaEO0IbHiUHU19hWcUWPe5xKRrpaQxii
rUWvSz0FiZ/rbUmUPZF7kSeNJrugTOtSCnanI1BpiBG4ge25NwlFxK4o5vEiQjEx7B3i/rExEQL7
oam3zw5ogX3T23gCzUzZoYc7y2Jf0EmEiucc35UWD/r9HOU9eI2kqZC44kCPvGXRcBClLPQrOXMg
BetMaZixMho3EpxHj6vTEF/KkIN+LN1cP2sM1D7MSuAjZpk5Vyj7BQOtrhsxmKlM/7BdMmIg58Sq
wqtUyQc3GLgvgwobFMNJ+7NbZiYrLtacmwzESK5FUM3PLCkE0WFk4GIJ53HiLksqRHE8KC9JaHCZ
EhoADy3PEIMuEl8DRfN804AxeDoHVi4zDH6ie5sHJ2dSN3eWH7NiHvICrThKsSb/UcCGgTeYiJR1
OyMU4eKAlQcmUpv2TtZJfrQMSU6JI5PMIvuBm5uRcVWnFLiFyFHLwKVi+jK2+YpWNVMNEpvryDeW
Oe1XZlSVH2KEyssqtYY7glLkBFHBqX/ouoYM2BYmqtFZM6aT1QPLP8Vp3bVeFlGqbVSslnTT1qEr
1yOsAX1d24FF1tSA6crD1WhN96RBgWmJ+3JmLpRXdQAqurWcQ9DiHfMWq26AglE5yK1c6mY5GbCZ
XqicenO1kMXyGLVSp83WCj1aBSQ0ofo0SGle46xrlvPN2na3aJFpEt1oZCTxFu0V+UtSrS0DZTld
C+a/t+ayRecEgFOy0wkdGVd01iaxk6h/+cJ0wo390JZVu1p49rGa6dk8DnWCViWNNZouhV7o9tam
b8ZjsLE1DTOeMQ1b0w0R5chOBOMqnEtso2NoRh3mrp7QTNB67ECtqsCfzYzidMT0sP82DHDVuE5j
va9pxTjjk0wt5c1tlI0PdlPFNLACyxRH6NXRyIRyntDyD1Hm7ArJ+MkXy2TdTebYVKtKTcJaR3pK
HbgUMYIKo+TNb3KrNLWj0ZtW4+VE1Cw+eCDtnBhN9cwBM5RrJxqGCyZuzV4DgM+cNY4HVJakKrr6
OoPfyaDh1tRbUQ2DWLJ1gEUnC38M0snQymhiEjWbrasyMbsnm4b66LNxildrqie1Y0YyuZg1Ay6Y
VhCysolMQAYrhgXB6HF/WeWKO6dfYDdFwbCn5SS0NdoooXtIFonGNdwuOfNYTVyaXQh75GziucSw
+WioCgaeOwTWI1Ivibo4MAsOjdhRfRIHXdsDSWpZ/Akza5KT4wzjz6pNFaL5PCFElGjPgloa5mK3
VXEj20NmuJGkNs9vIyo+2y0aV5mvVOkZHD/Tfus6DB4nLdLakicZqKubWU2cakHaJlMg1aWbBgn0
x/+7JevvdfYNH7D+jR5w3/9o5ocfbZ91/8dgdfvpXRkX3VP5X/ulP5xa//Ef+r3SfZoruAXfy77o
bu/gV4vaDVD7b2rg397Rb2/3r/5A9gkTof/iL2uG/k+65/yj86cyMmb/+IEl/snpj3+U/dt/bj/n
pf50bf6zT//XH+x/X8a//p2/eu8/fvtGbh2AWwX2r334W8mOi86F2nCz1LkuZcOfr4HNzymfOOb/
fg2gKP33ugYQJf61ayD/F3dXs9zGcYRfZW+Oq2JZuyAI8uIqEuKPRIKiCYiu+DYAxsCYwC68P6TB
VKpyyUPknJMPueWYG98kT5KvdzEUenYJgNgu0aYOKoGEemZ6enp6+ufrN7R0f3cfS1teeit4sw8Y
ODS2hfuB/hTelt/T9tMjr97+774BujmgPPZ2ijUS8CpjQvMNigj3mnAQ5eJBrqDf1/6TM6MeD3yc
//3W7i5V/rG1779pUIUqilML5hSStpEAbPClRz3aRovmYa5BjU6qFO1TX7AqpPz7hfrIvYQNQLI8
+uHyr5JKLUYvVAl9/o5p2FzJLf2SSmyXPrLvJqUvLxa/PNbyj9hSK9dgf3hqdKziwXie/5f5YlUF
kk1bhWqolkuPCc//8yRLd8ajkKyiehJrdIFS4dCSIhaSZqhLuKN/NYPI0smVN0luXbJdhfvXuwSf
Yu1h2l7H/JJpSLElnYsAqa66I31Cbq4eet1UpTqx5HLq1DujLvU2CMRq4h1MdWwGbFsD+Glw8z45
Aiaz0da2VWz6fa0Ya/y3bxv7eGuvpV8lwI+2QPkA8jv++b9fLJf4Cwu89XajAwy7IASbSueRH95o
AB6s+c7v4YAf/ORKQou6mnA5WCx5QxE4CFFmNUgdAcPVX9Icz6SbGC6yPoEJ1pkp8IijmbY0cnUB
WC1cQHWIXkRxOq48YvkdUYv2QZbQAXb4gKNbkxHdKKuec8NHdmQ9fnykk8BnDGgJeOkDZLTuNFqI
c8GjXm+MSzySgErhjIIIRXMnAGYCwlrk326WRsk+P3c2VXCQGeUI4u5eY28HkaUAMSYfflxgsLnL
2WKgQzXBGaq4ClpIOYEtuQ+budkMdhBHkxiuo9G6KErVlDOxhdyW/eZe0ASwCMIETaRtC6yto0bj
WPctJTp5rUYDUQiIAyKDCIr6wVuJgR6vI+9Cp2Mdk9HB7tW9HdxMDXCxAVRooGzsUy87fvxLe/dy
t1RAKs/abcuWH7982MXyh7iERkBAM0nKzYZVO7HpXXSv474yP3PCq87LpoTJUewclRWCsyHVQxWO
Jmqok7Glldt+AozozFU4VTEju0odbjrhceZumoCdehhnoTbLc20IzLWtpv1oyPdsZ5VNuiEPurHx
zlV4w4yTshG1pEY2JIwDHnKiAoJ7Ct+bd0Z/dQ+ullmMxAX7sdIbuJH5/z4cRqF27kefPGhP6tQN
mQHKfOt8whqvS/WDmnHV4Acl6/f5G4dq2tH83lVnwKSqP+HCujyLYs0kA3kn9WkXVmAFbQHBOFP3
6mZcZonAuT5XUWIXn9vw1GatrmB01EBFpSNCbtDalHH2IseER6WlAGE1GZpb7jYAkq8IYTV3z/Su
wM5d6Jma2PnlW9cS2DoCzBvoifc+KVl7PsGZ1d3AS4V0EOfWQ8awAGG4KM1sBvcCk+fVlvCG6rNr
wpGaQW3YaeaGhS8gHb2xMq4vDxk7dpzt75KeAsxcidMBpaHV3cKeMndc7yP5WYBsFt+QWehKByCR
6xP/dN/XFeyg1NC67Lg2OgVeuSWUi4aEqvsIb0V0671Pszibed96R2kUR2m2OJnLwyFh6q3AQhYD
nmWhSlCLhiHtP03VoEAGFrAhurNYpZN5lb7BQ13C9umY4XCivSOVpMtMA/LSSurQIhsZbQuudccG
WWIqBNce/1no0OVB4caDH6Dkb8o+e1I2HLWjJmqusEGxmfzv7/9MbujTSTxHvAEzOFX9aKrsrjF9
CHfXboOysuuKfc9Mo/ibc52kTCtSZicaotWn39V4FNxYcU++fWdUNMd7yXjfZ+FQsTgFckpbaKpX
f1B0FRtGYGBP3eAZaabMTEQADj6jtZv3cg4OamvwGuNoB5N+yQlaf68P8NqKY7bDAhdN7mR23loC
5umhRm+yjF8yAuY0OhXDD5NH5U51fK9H0a3zaqaOMnVVBSYP/FOmhsrBh+frQDTyGyFgxnawITDd
d5qcPTd23XSh7wrw+n0MNvCoLRWM1GXuUYJSbM4ExOJqk23f68HYISvA22NTCl23BEyXYxVHusqG
WOlw3/CuPY5VOGCXHLWcqbtvJ6aPYBSCfZYUyZnEQ+gEeXBhoueMroBf5kTHUxVyshJ8QDoD5+6+
wKkAuAPS55hqQI2WZcn2z6pTlASpmDEBaWn16b7Hm9tRDij2EqCbqgmfLTXbriu7H3TsCJgfCFhf
H2A+d9Rc8/QHiRvoXKW3jjRIOK/PTTrOXNPEL8fAn3+3dSfRLTwlXIB3BHh8bqDXU41UYm04n3cE
1Pt59qtGnCCLR1bISKsBdN5+3P7kdQDmDp5YQjndpoBa60ShcrKemgJHBA+0lE9W4rX8RBzWbwk8
6OAcv1NcV0hczagLdBXbvm93cXtxuESiSDZyHKASWXBXeDk79hRyK+tPmE60G/RERFqAcK410TOP
PYkDaqdYV893Z8jds2ToxCHMbz9uv3XdW4UHXTy0lHLCgQSL7/SQXx4BFSvX5sIdID+L7AdLrJiy
gDr+dBODxcy4RCKMHWZ7Hi9SIc/guB5G/NkoEVy9hnE1gNwB5pRpjGBlAsiG9jY0Mi4oPYq5QEu8
arpIaOCXatAS4DYcfdqLfoLxwk6L30Qfxvp7WUQtEVPTCA/z2QP/U8KeO0O70VvGbVQbANNQwLB9
+Aep/6qnWWun4aN2C3UdKKtGG7ed9cO9nGutSOV7hclD8YjUI8+UWOkX3/AQozWncUxuibNwGCu0
zrNnitQwVVfV1fBtxA6ZDpZwkKMddzR1tI1EXOhokCl4Lu2qiQcSafrHsQ4HY+8kM6haWCYuYVse
q8nNk3pAQMucZMjQYrMG5oNdxPa36NOtiHFm0G+nqu5vo6ARRdld5BufwCXqSvKljjNLhSQDzcLs
x+1n+yRMT00uXOOWv0cpCNs4ZJOum/HLXQNU6PEqc0irUuMlHiewXX6KJjcV8WN0yQ5Q1rKP6jWA
ku8hvX+tpL7cvlfl3L9CY6CobAq9rppG7FBKuCIP4T/OeDmcyKOPrtkorLIwJVIG29EgSrw/nWk9
wVvq66ph0OCztt7ObXz47fGEQEQrVFXjSHi72lFkDyOLx0m4vI7Nz8Zygu4eiXS0Y7zokSDyWNWX
v7LMIC7nya4skNvQaF3YQARlVcrDXVng9zz6eaoobTa9jB4LvigN2imvEDAITjKemlQuFsqenXxy
quG9WUhoUdE5eAcv6sT+jEkWkhKsUGxvgZwZFEbC52Ap5aZNQ8D/0h7HSDibqmSxHD6AwMwv9J3X
VpOKp7uEP+PCZJpNWcKbca3CTKUZpyvgTbxQyGRjVCXOLDH4R410KB5ah2vBDrW92F2adKAMDmpl
NqyAa+dSzTKF6qo7eneFTlY6ARnUfg+AMZznBBxZlyouKep1V50lXK5Ufb6GKWrGTzX6FKs/ewfJ
AAErNP7OlU2PTix8j8h0a2fhmNkpqCCsv7pedIM3CeMamtdI0EXs2JIhDRZI1B30MrjTnckKSOYP
2F6T5Aw/zlKkhLKJNwVGKBmZ6PFmB9n+yLYpCVzHyImp0OhNwmlsoWQRSCE+0KOaEgGuhau9m6MO
ANwgjGLvY4acVtiLVYoDg2JkQE+hPfjePop4qaf76hP5cg8fqmd/hQ+dyQgYDkykBXTtAZWmMKJr
NxaVpyONRppPY4iglWWCbHtG1pegi1gkC1ZIVAYc4oJHpZkVZ9JxEsn77bFiwUKJANmVnmX9CUrE
EbZBbbPXpsKi5YlLJFu809NogOcLhlk/noAEokhTxxFHVlnvTlsvhG28sGNeJ9YUuBAfEVVyGI3w
kUfL27CyPH/DZ1dbzbR3reOhZpTX+pvWM+bdzwbZLvxdQijlq9X5erpHo/kstWToGEkUjB39ArM+
gt6bVFib6y+hDWaNNiFOaaXEe+QoHZtoxtW1RLJ/D8f+BGXNnPKegGlzgvoLplzX+zbXc/cEVf7s
GlgfL92AaPnZIZHs0n74T6q94VfvbyPDq+aAym3lensj70yHc8aKCjCb5z86zk3ftQrQNan+bFEj
g37U7HJBcF2Aruk7XJDwRHZQQjRSyYAnJvsS1whyO6OUlwv5IgkjeOTeMavDl3igIIXPISpwY3Rw
kQ7cfEOBI9GBc8WkhldZABGzvpgVlN2cOF/imutE96R/AQdnp5k79iTKIi4MTHxGVeLKyKny+8Jv
Ne0w2yu0wvvzzaFJEu54QIJPfepXD79lIdwnllLOZIks+yu8TNyIjoAZ29XzwVhPJpo5kgOJ/P0F
VlcJty2QSOJHyaJ2UlIDichZl7ATlXeuEfVY3sNAAsSji3xXB1Ah8AWErotYH5M4wEPZyW9/UHoR
f6UFEuk/3Yd/RV4vmj78lvu7LuOHf4cDw7HtAoloQw/H0IGCQN6bAFdUeO8q6ECizPjTqHTAJeom
4Ce4Qc6Zd6wSZhYFEjUIwF41jk0fSCCEHMEPg0w5ZhIEEhfsj6U3SCBRK/CjmfZV/45rjF0BaSt0
aPl8SySKHQJ3oAdjjqX4AeOw/hk56M85KlYLYBhAFaI+RMiihaJe/556OT9sDgD6Ch2xlWinzfVg
wC+3E7sVwJh1N2Z5NXQ3Avl6+UdHlGdngbdX/EoQ0bcKlfPLrrLwXVBm7iPwuJ3AKn/5iY5itEi1
+oJMXQnYoqsscS9uCZCL3sN/cRPOuY5eX8NeJRxfRi6q4FPttuR7tRBf7N5nH+ga4Pbl1fw+pL8K
t/UVrrICNPb1rbIKo/b1rbJAoP+y69pSQwMNxNxzjSdglLYjJIV4Vw5uuojdP0E+7OTWrbmghp2f
VdyWrRwQkNF4frPrSiJ/BjilQ4LatlPMPT7rrar18YILMDgvXWCUJXIjLxHd4HhL/v5aFi9fHdZK
+jIX4WNXhj/EmTuIsz4TMt/u3/auGCSuGtSw5C6TQxX33dxuiRFGmZnw0yEBukizxXHmp0MgiZsC
iodqDDFmpCVAcdtqjrL0qnQiCWyFtiMdEtGTd9EUzhLeJ0XCrWHpVqcLSCC2osGO27dHArEAmdhD
tL3JuF9Rwr9/qvA8tMetUPUN+3H78/0Bcuzsnx8I3NRIHiU3mhv0kUgoocrxhHzlqV1+zg2JHJJL
oCqlERkY3GNJHffqmgFFtuuZSdMi4fJC3xquQSTgPYtRzrMBfx0HEgXkyMkNzVAN88ugF/XRT8Sy
hXYgkMDw6cFpXPCnDblEUU5FUnYggStXMOraAPQLjavgAM8TxAqtUIIXlgi5H1LkNhl71waui0ol
H0icjk/dlSMICDKaESNdntv2EnZyG7YsEMWZSEmEc7uKW0UB9derfZqp3dkRCioRLeDh+EAiVFxI
J0yYdPzw20RP53bGdNDQ6t5+3F7xA+06RR0aRuBgKvCVS6ShFQsobgHvTwW43td21rSIBrK01zr8
X87yL4CD/xBmP4xRgpdZZq4EgE97PnPgPCUy90/Q5AANm2IzY/OVuGDfA8GREZUIcL9PYqVZnMqX
YC7m+gubqwSE0YcodqLxIsg0Z9kdTE82W4lQ3bkG3q+TriIRzf6IJxSbrEQ09Ht0T4sZVYkSy67K
hsY7iJUbyZaopuzOkQS8POVA4om6qIOhOXtHU0NVu9yIlXg8/AC8cbyxQ4bOiy5rdjXb33p/0Wg+
YMnkRqsE6O9F5EHovko8tz4RiEd2sO3nfELYel436w9REodWlOwo7gRvJdQyclb6VaY26qeg7yQe
xgf9zOtkCZPIBXUBHv316qh7dHV99O5vHgkPlV2X5B/xHpRjNZAFsBdQo+md9dmuW9ofVf+N91Om
bwwmqLD+7v8AAAD//w==</cx:binary>
              </cx:geoCache>
            </cx:geography>
          </cx:layoutPr>
          <cx:valueColors>
            <cx:minColor>
              <a:schemeClr val="accent1">
                <a:lumMod val="60000"/>
                <a:lumOff val="40000"/>
              </a:schemeClr>
            </cx:minColor>
            <cx:maxColor>
              <a:schemeClr val="accent1">
                <a:lumMod val="50000"/>
              </a:schemeClr>
            </cx:maxColor>
          </cx:valueColors>
        </cx:series>
      </cx:plotAreaRegion>
    </cx:plotArea>
    <cx:legend pos="t"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microsoft.com/office/2014/relationships/chartEx" Target="../charts/chartEx3.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58615</xdr:colOff>
      <xdr:row>32</xdr:row>
      <xdr:rowOff>165295</xdr:rowOff>
    </xdr:from>
    <xdr:to>
      <xdr:col>5</xdr:col>
      <xdr:colOff>675835</xdr:colOff>
      <xdr:row>47</xdr:row>
      <xdr:rowOff>165296</xdr:rowOff>
    </xdr:to>
    <xdr:graphicFrame macro="">
      <xdr:nvGraphicFramePr>
        <xdr:cNvPr id="2" name="Chart 1">
          <a:extLst>
            <a:ext uri="{FF2B5EF4-FFF2-40B4-BE49-F238E27FC236}">
              <a16:creationId xmlns:a16="http://schemas.microsoft.com/office/drawing/2014/main" id="{E3A1D5E0-1142-B359-ACF9-C29A7C76F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1187648</xdr:colOff>
      <xdr:row>18</xdr:row>
      <xdr:rowOff>179189</xdr:rowOff>
    </xdr:from>
    <xdr:to>
      <xdr:col>10</xdr:col>
      <xdr:colOff>154781</xdr:colOff>
      <xdr:row>33</xdr:row>
      <xdr:rowOff>154186</xdr:rowOff>
    </xdr:to>
    <xdr:graphicFrame macro="">
      <xdr:nvGraphicFramePr>
        <xdr:cNvPr id="3" name="Chart 2">
          <a:extLst>
            <a:ext uri="{FF2B5EF4-FFF2-40B4-BE49-F238E27FC236}">
              <a16:creationId xmlns:a16="http://schemas.microsoft.com/office/drawing/2014/main" id="{54EB43A7-04D4-C2C8-FC1F-67E014203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247055</xdr:colOff>
      <xdr:row>17</xdr:row>
      <xdr:rowOff>60127</xdr:rowOff>
    </xdr:from>
    <xdr:to>
      <xdr:col>5</xdr:col>
      <xdr:colOff>872133</xdr:colOff>
      <xdr:row>32</xdr:row>
      <xdr:rowOff>35124</xdr:rowOff>
    </xdr:to>
    <xdr:graphicFrame macro="">
      <xdr:nvGraphicFramePr>
        <xdr:cNvPr id="5" name="Chart 4">
          <a:extLst>
            <a:ext uri="{FF2B5EF4-FFF2-40B4-BE49-F238E27FC236}">
              <a16:creationId xmlns:a16="http://schemas.microsoft.com/office/drawing/2014/main" id="{89F3AB0E-31E0-051D-1AFD-6CC49CD18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820615</xdr:colOff>
      <xdr:row>23</xdr:row>
      <xdr:rowOff>54708</xdr:rowOff>
    </xdr:from>
    <xdr:to>
      <xdr:col>17</xdr:col>
      <xdr:colOff>1289539</xdr:colOff>
      <xdr:row>38</xdr:row>
      <xdr:rowOff>13677</xdr:rowOff>
    </xdr:to>
    <xdr:graphicFrame macro="">
      <xdr:nvGraphicFramePr>
        <xdr:cNvPr id="4" name="Chart 3">
          <a:extLst>
            <a:ext uri="{FF2B5EF4-FFF2-40B4-BE49-F238E27FC236}">
              <a16:creationId xmlns:a16="http://schemas.microsoft.com/office/drawing/2014/main" id="{B72875A2-5BEF-A309-FC36-D0C9BFB80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4597</xdr:colOff>
      <xdr:row>49</xdr:row>
      <xdr:rowOff>15631</xdr:rowOff>
    </xdr:from>
    <xdr:to>
      <xdr:col>11</xdr:col>
      <xdr:colOff>162630</xdr:colOff>
      <xdr:row>63</xdr:row>
      <xdr:rowOff>160217</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A03319EE-A8EE-A266-84E7-1640915D8F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949068" y="8801043"/>
              <a:ext cx="4573150" cy="26547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124810</xdr:colOff>
      <xdr:row>25</xdr:row>
      <xdr:rowOff>53865</xdr:rowOff>
    </xdr:from>
    <xdr:to>
      <xdr:col>23</xdr:col>
      <xdr:colOff>413844</xdr:colOff>
      <xdr:row>40</xdr:row>
      <xdr:rowOff>38100</xdr:rowOff>
    </xdr:to>
    <xdr:graphicFrame macro="">
      <xdr:nvGraphicFramePr>
        <xdr:cNvPr id="7" name="Chart 6">
          <a:extLst>
            <a:ext uri="{FF2B5EF4-FFF2-40B4-BE49-F238E27FC236}">
              <a16:creationId xmlns:a16="http://schemas.microsoft.com/office/drawing/2014/main" id="{A95721E5-55A6-DF34-C8DB-FA66CD79F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374431</xdr:colOff>
      <xdr:row>10</xdr:row>
      <xdr:rowOff>119556</xdr:rowOff>
    </xdr:from>
    <xdr:to>
      <xdr:col>33</xdr:col>
      <xdr:colOff>111673</xdr:colOff>
      <xdr:row>25</xdr:row>
      <xdr:rowOff>103790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3C82960E-7C7E-61B7-5B40-2EE0BF6C80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1776121" y="1958866"/>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521857</xdr:colOff>
      <xdr:row>7</xdr:row>
      <xdr:rowOff>12449</xdr:rowOff>
    </xdr:from>
    <xdr:to>
      <xdr:col>8</xdr:col>
      <xdr:colOff>1052993</xdr:colOff>
      <xdr:row>16</xdr:row>
      <xdr:rowOff>22634</xdr:rowOff>
    </xdr:to>
    <mc:AlternateContent xmlns:mc="http://schemas.openxmlformats.org/markup-compatibility/2006">
      <mc:Choice xmlns:a14="http://schemas.microsoft.com/office/drawing/2010/main" Requires="a14">
        <xdr:graphicFrame macro="">
          <xdr:nvGraphicFramePr>
            <xdr:cNvPr id="9" name="Quarter">
              <a:extLst>
                <a:ext uri="{FF2B5EF4-FFF2-40B4-BE49-F238E27FC236}">
                  <a16:creationId xmlns:a16="http://schemas.microsoft.com/office/drawing/2014/main" id="{E6B7FE32-A758-8D5D-F2CF-43B48BD4084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6459421" y="1279934"/>
              <a:ext cx="1828800" cy="1639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393599</xdr:colOff>
      <xdr:row>6</xdr:row>
      <xdr:rowOff>170884</xdr:rowOff>
    </xdr:from>
    <xdr:to>
      <xdr:col>8</xdr:col>
      <xdr:colOff>924735</xdr:colOff>
      <xdr:row>21</xdr:row>
      <xdr:rowOff>36120</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55E2C745-6AD4-E395-06CC-F2193C947AE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331163" y="1257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478970</xdr:colOff>
      <xdr:row>63</xdr:row>
      <xdr:rowOff>43542</xdr:rowOff>
    </xdr:to>
    <xdr:sp macro="" textlink="">
      <xdr:nvSpPr>
        <xdr:cNvPr id="2" name="Rectangle 1">
          <a:extLst>
            <a:ext uri="{FF2B5EF4-FFF2-40B4-BE49-F238E27FC236}">
              <a16:creationId xmlns:a16="http://schemas.microsoft.com/office/drawing/2014/main" id="{87C04C62-EEFD-E177-40F4-5060E8DD6580}"/>
            </a:ext>
          </a:extLst>
        </xdr:cNvPr>
        <xdr:cNvSpPr/>
      </xdr:nvSpPr>
      <xdr:spPr>
        <a:xfrm flipH="1" flipV="1">
          <a:off x="0" y="0"/>
          <a:ext cx="15673613" cy="11473542"/>
        </a:xfrm>
        <a:prstGeom prst="rect">
          <a:avLst/>
        </a:prstGeom>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185058</xdr:colOff>
      <xdr:row>1</xdr:row>
      <xdr:rowOff>0</xdr:rowOff>
    </xdr:from>
    <xdr:to>
      <xdr:col>4</xdr:col>
      <xdr:colOff>43543</xdr:colOff>
      <xdr:row>7</xdr:row>
      <xdr:rowOff>10885</xdr:rowOff>
    </xdr:to>
    <xdr:sp macro="" textlink="">
      <xdr:nvSpPr>
        <xdr:cNvPr id="3" name="Rectangle: Rounded Corners 2">
          <a:extLst>
            <a:ext uri="{FF2B5EF4-FFF2-40B4-BE49-F238E27FC236}">
              <a16:creationId xmlns:a16="http://schemas.microsoft.com/office/drawing/2014/main" id="{62C606E2-1D35-1B01-EF73-FA96EFB3FB7A}"/>
            </a:ext>
          </a:extLst>
        </xdr:cNvPr>
        <xdr:cNvSpPr/>
      </xdr:nvSpPr>
      <xdr:spPr>
        <a:xfrm>
          <a:off x="185058" y="185057"/>
          <a:ext cx="2296885" cy="112122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163285</xdr:colOff>
      <xdr:row>1</xdr:row>
      <xdr:rowOff>10886</xdr:rowOff>
    </xdr:from>
    <xdr:to>
      <xdr:col>24</xdr:col>
      <xdr:colOff>511629</xdr:colOff>
      <xdr:row>7</xdr:row>
      <xdr:rowOff>21771</xdr:rowOff>
    </xdr:to>
    <xdr:sp macro="" textlink="">
      <xdr:nvSpPr>
        <xdr:cNvPr id="4" name="Rectangle: Rounded Corners 3">
          <a:extLst>
            <a:ext uri="{FF2B5EF4-FFF2-40B4-BE49-F238E27FC236}">
              <a16:creationId xmlns:a16="http://schemas.microsoft.com/office/drawing/2014/main" id="{1447F9D8-EC01-47F7-8735-55FB548BCFE8}"/>
            </a:ext>
          </a:extLst>
        </xdr:cNvPr>
        <xdr:cNvSpPr/>
      </xdr:nvSpPr>
      <xdr:spPr>
        <a:xfrm>
          <a:off x="2601685" y="195943"/>
          <a:ext cx="12540344" cy="112122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185057</xdr:colOff>
      <xdr:row>7</xdr:row>
      <xdr:rowOff>163284</xdr:rowOff>
    </xdr:from>
    <xdr:to>
      <xdr:col>4</xdr:col>
      <xdr:colOff>43542</xdr:colOff>
      <xdr:row>21</xdr:row>
      <xdr:rowOff>10885</xdr:rowOff>
    </xdr:to>
    <xdr:sp macro="" textlink="">
      <xdr:nvSpPr>
        <xdr:cNvPr id="5" name="Rectangle: Rounded Corners 4">
          <a:extLst>
            <a:ext uri="{FF2B5EF4-FFF2-40B4-BE49-F238E27FC236}">
              <a16:creationId xmlns:a16="http://schemas.microsoft.com/office/drawing/2014/main" id="{BFBFF9D5-1BDB-4D24-89EF-A66778536B28}"/>
            </a:ext>
          </a:extLst>
        </xdr:cNvPr>
        <xdr:cNvSpPr/>
      </xdr:nvSpPr>
      <xdr:spPr>
        <a:xfrm>
          <a:off x="185057" y="1478517"/>
          <a:ext cx="2280184" cy="247806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163285</xdr:colOff>
      <xdr:row>8</xdr:row>
      <xdr:rowOff>0</xdr:rowOff>
    </xdr:from>
    <xdr:to>
      <xdr:col>25</xdr:col>
      <xdr:colOff>76200</xdr:colOff>
      <xdr:row>14</xdr:row>
      <xdr:rowOff>10885</xdr:rowOff>
    </xdr:to>
    <xdr:sp macro="" textlink="">
      <xdr:nvSpPr>
        <xdr:cNvPr id="9" name="Rectangle: Rounded Corners 8">
          <a:extLst>
            <a:ext uri="{FF2B5EF4-FFF2-40B4-BE49-F238E27FC236}">
              <a16:creationId xmlns:a16="http://schemas.microsoft.com/office/drawing/2014/main" id="{6732E2AC-6D22-4874-9A36-DF98DCE297DB}"/>
            </a:ext>
          </a:extLst>
        </xdr:cNvPr>
        <xdr:cNvSpPr/>
      </xdr:nvSpPr>
      <xdr:spPr>
        <a:xfrm>
          <a:off x="12355285" y="1480457"/>
          <a:ext cx="2960915" cy="112122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237671</xdr:colOff>
      <xdr:row>7</xdr:row>
      <xdr:rowOff>179614</xdr:rowOff>
    </xdr:from>
    <xdr:to>
      <xdr:col>9</xdr:col>
      <xdr:colOff>150586</xdr:colOff>
      <xdr:row>14</xdr:row>
      <xdr:rowOff>9070</xdr:rowOff>
    </xdr:to>
    <xdr:sp macro="" textlink="">
      <xdr:nvSpPr>
        <xdr:cNvPr id="10" name="Rectangle: Rounded Corners 9">
          <a:extLst>
            <a:ext uri="{FF2B5EF4-FFF2-40B4-BE49-F238E27FC236}">
              <a16:creationId xmlns:a16="http://schemas.microsoft.com/office/drawing/2014/main" id="{510F438D-B058-4DAB-8DEF-FCAD9844B4E2}"/>
            </a:ext>
          </a:extLst>
        </xdr:cNvPr>
        <xdr:cNvSpPr/>
      </xdr:nvSpPr>
      <xdr:spPr>
        <a:xfrm>
          <a:off x="2668814" y="1449614"/>
          <a:ext cx="2951843" cy="109945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348344</xdr:colOff>
      <xdr:row>7</xdr:row>
      <xdr:rowOff>141515</xdr:rowOff>
    </xdr:from>
    <xdr:to>
      <xdr:col>14</xdr:col>
      <xdr:colOff>261259</xdr:colOff>
      <xdr:row>13</xdr:row>
      <xdr:rowOff>152400</xdr:rowOff>
    </xdr:to>
    <xdr:sp macro="" textlink="">
      <xdr:nvSpPr>
        <xdr:cNvPr id="11" name="Rectangle: Rounded Corners 10">
          <a:extLst>
            <a:ext uri="{FF2B5EF4-FFF2-40B4-BE49-F238E27FC236}">
              <a16:creationId xmlns:a16="http://schemas.microsoft.com/office/drawing/2014/main" id="{96796FF4-0C08-4DAC-AF6D-0DCAFD1BD254}"/>
            </a:ext>
          </a:extLst>
        </xdr:cNvPr>
        <xdr:cNvSpPr/>
      </xdr:nvSpPr>
      <xdr:spPr>
        <a:xfrm>
          <a:off x="5818415" y="1411515"/>
          <a:ext cx="2951844" cy="109945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533400</xdr:colOff>
      <xdr:row>7</xdr:row>
      <xdr:rowOff>163285</xdr:rowOff>
    </xdr:from>
    <xdr:to>
      <xdr:col>19</xdr:col>
      <xdr:colOff>446315</xdr:colOff>
      <xdr:row>13</xdr:row>
      <xdr:rowOff>174170</xdr:rowOff>
    </xdr:to>
    <xdr:sp macro="" textlink="">
      <xdr:nvSpPr>
        <xdr:cNvPr id="12" name="Rectangle: Rounded Corners 11">
          <a:extLst>
            <a:ext uri="{FF2B5EF4-FFF2-40B4-BE49-F238E27FC236}">
              <a16:creationId xmlns:a16="http://schemas.microsoft.com/office/drawing/2014/main" id="{8DFB2787-97C9-4A45-9014-A1AE602EA508}"/>
            </a:ext>
          </a:extLst>
        </xdr:cNvPr>
        <xdr:cNvSpPr/>
      </xdr:nvSpPr>
      <xdr:spPr>
        <a:xfrm>
          <a:off x="9042400" y="1433285"/>
          <a:ext cx="2951844" cy="109945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217714</xdr:colOff>
      <xdr:row>15</xdr:row>
      <xdr:rowOff>3627</xdr:rowOff>
    </xdr:from>
    <xdr:to>
      <xdr:col>11</xdr:col>
      <xdr:colOff>511629</xdr:colOff>
      <xdr:row>33</xdr:row>
      <xdr:rowOff>141513</xdr:rowOff>
    </xdr:to>
    <xdr:sp macro="" textlink="">
      <xdr:nvSpPr>
        <xdr:cNvPr id="13" name="Rectangle: Rounded Corners 12">
          <a:extLst>
            <a:ext uri="{FF2B5EF4-FFF2-40B4-BE49-F238E27FC236}">
              <a16:creationId xmlns:a16="http://schemas.microsoft.com/office/drawing/2014/main" id="{2D44F023-F110-4ECA-B7BA-8D017BCB858F}"/>
            </a:ext>
          </a:extLst>
        </xdr:cNvPr>
        <xdr:cNvSpPr/>
      </xdr:nvSpPr>
      <xdr:spPr>
        <a:xfrm>
          <a:off x="2648857" y="2725056"/>
          <a:ext cx="4548415" cy="34036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239485</xdr:colOff>
      <xdr:row>14</xdr:row>
      <xdr:rowOff>174171</xdr:rowOff>
    </xdr:from>
    <xdr:to>
      <xdr:col>19</xdr:col>
      <xdr:colOff>533400</xdr:colOff>
      <xdr:row>33</xdr:row>
      <xdr:rowOff>130628</xdr:rowOff>
    </xdr:to>
    <xdr:sp macro="" textlink="">
      <xdr:nvSpPr>
        <xdr:cNvPr id="14" name="Rectangle: Rounded Corners 13">
          <a:extLst>
            <a:ext uri="{FF2B5EF4-FFF2-40B4-BE49-F238E27FC236}">
              <a16:creationId xmlns:a16="http://schemas.microsoft.com/office/drawing/2014/main" id="{35E4B6ED-4948-4436-932D-60D3B638B574}"/>
            </a:ext>
          </a:extLst>
        </xdr:cNvPr>
        <xdr:cNvSpPr/>
      </xdr:nvSpPr>
      <xdr:spPr>
        <a:xfrm>
          <a:off x="7554685" y="2764971"/>
          <a:ext cx="4561115" cy="347254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217715</xdr:colOff>
      <xdr:row>35</xdr:row>
      <xdr:rowOff>32657</xdr:rowOff>
    </xdr:from>
    <xdr:to>
      <xdr:col>11</xdr:col>
      <xdr:colOff>511630</xdr:colOff>
      <xdr:row>53</xdr:row>
      <xdr:rowOff>174171</xdr:rowOff>
    </xdr:to>
    <xdr:sp macro="" textlink="">
      <xdr:nvSpPr>
        <xdr:cNvPr id="16" name="Rectangle: Rounded Corners 15">
          <a:extLst>
            <a:ext uri="{FF2B5EF4-FFF2-40B4-BE49-F238E27FC236}">
              <a16:creationId xmlns:a16="http://schemas.microsoft.com/office/drawing/2014/main" id="{2C6F6D8D-CA32-4A61-B4BF-BC73FCADCEF1}"/>
            </a:ext>
          </a:extLst>
        </xdr:cNvPr>
        <xdr:cNvSpPr/>
      </xdr:nvSpPr>
      <xdr:spPr>
        <a:xfrm>
          <a:off x="2656115" y="6509657"/>
          <a:ext cx="4561115" cy="347254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304801</xdr:colOff>
      <xdr:row>35</xdr:row>
      <xdr:rowOff>65314</xdr:rowOff>
    </xdr:from>
    <xdr:to>
      <xdr:col>19</xdr:col>
      <xdr:colOff>598716</xdr:colOff>
      <xdr:row>54</xdr:row>
      <xdr:rowOff>21771</xdr:rowOff>
    </xdr:to>
    <xdr:sp macro="" textlink="">
      <xdr:nvSpPr>
        <xdr:cNvPr id="17" name="Rectangle: Rounded Corners 16">
          <a:extLst>
            <a:ext uri="{FF2B5EF4-FFF2-40B4-BE49-F238E27FC236}">
              <a16:creationId xmlns:a16="http://schemas.microsoft.com/office/drawing/2014/main" id="{82FF5A57-64B5-4843-BCD5-0EBA2EA78E5E}"/>
            </a:ext>
          </a:extLst>
        </xdr:cNvPr>
        <xdr:cNvSpPr/>
      </xdr:nvSpPr>
      <xdr:spPr>
        <a:xfrm>
          <a:off x="7620001" y="6542314"/>
          <a:ext cx="4561115" cy="347254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130628</xdr:colOff>
      <xdr:row>22</xdr:row>
      <xdr:rowOff>43542</xdr:rowOff>
    </xdr:from>
    <xdr:to>
      <xdr:col>3</xdr:col>
      <xdr:colOff>598713</xdr:colOff>
      <xdr:row>53</xdr:row>
      <xdr:rowOff>108857</xdr:rowOff>
    </xdr:to>
    <xdr:sp macro="" textlink="">
      <xdr:nvSpPr>
        <xdr:cNvPr id="18" name="Rectangle: Rounded Corners 17">
          <a:extLst>
            <a:ext uri="{FF2B5EF4-FFF2-40B4-BE49-F238E27FC236}">
              <a16:creationId xmlns:a16="http://schemas.microsoft.com/office/drawing/2014/main" id="{A907A18C-A34B-413B-A225-9A7CC782CB0D}"/>
            </a:ext>
          </a:extLst>
        </xdr:cNvPr>
        <xdr:cNvSpPr/>
      </xdr:nvSpPr>
      <xdr:spPr>
        <a:xfrm>
          <a:off x="130628" y="4114799"/>
          <a:ext cx="2296885" cy="580208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185058</xdr:colOff>
      <xdr:row>14</xdr:row>
      <xdr:rowOff>163285</xdr:rowOff>
    </xdr:from>
    <xdr:to>
      <xdr:col>25</xdr:col>
      <xdr:colOff>283030</xdr:colOff>
      <xdr:row>54</xdr:row>
      <xdr:rowOff>119743</xdr:rowOff>
    </xdr:to>
    <xdr:sp macro="" textlink="">
      <xdr:nvSpPr>
        <xdr:cNvPr id="20" name="Rectangle: Rounded Corners 19">
          <a:extLst>
            <a:ext uri="{FF2B5EF4-FFF2-40B4-BE49-F238E27FC236}">
              <a16:creationId xmlns:a16="http://schemas.microsoft.com/office/drawing/2014/main" id="{E045ED21-4DB2-402C-AE43-ECD13B594B57}"/>
            </a:ext>
          </a:extLst>
        </xdr:cNvPr>
        <xdr:cNvSpPr/>
      </xdr:nvSpPr>
      <xdr:spPr>
        <a:xfrm>
          <a:off x="12377058" y="2754085"/>
          <a:ext cx="3145972" cy="7358744"/>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308427</xdr:colOff>
      <xdr:row>2</xdr:row>
      <xdr:rowOff>99786</xdr:rowOff>
    </xdr:from>
    <xdr:to>
      <xdr:col>23</xdr:col>
      <xdr:colOff>535214</xdr:colOff>
      <xdr:row>5</xdr:row>
      <xdr:rowOff>72571</xdr:rowOff>
    </xdr:to>
    <xdr:sp macro="" textlink="">
      <xdr:nvSpPr>
        <xdr:cNvPr id="21" name="TextBox 20">
          <a:extLst>
            <a:ext uri="{FF2B5EF4-FFF2-40B4-BE49-F238E27FC236}">
              <a16:creationId xmlns:a16="http://schemas.microsoft.com/office/drawing/2014/main" id="{68EC89E9-5475-53FB-6016-83417BFDE6DC}"/>
            </a:ext>
          </a:extLst>
        </xdr:cNvPr>
        <xdr:cNvSpPr txBox="1"/>
      </xdr:nvSpPr>
      <xdr:spPr>
        <a:xfrm>
          <a:off x="3347356" y="462643"/>
          <a:ext cx="11166929" cy="51707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a:solidFill>
                <a:schemeClr val="accent1">
                  <a:lumMod val="50000"/>
                </a:schemeClr>
              </a:solidFill>
            </a:rPr>
            <a:t>SALES</a:t>
          </a:r>
          <a:r>
            <a:rPr lang="en-IN" sz="3600" baseline="0">
              <a:solidFill>
                <a:schemeClr val="accent1">
                  <a:lumMod val="50000"/>
                </a:schemeClr>
              </a:solidFill>
            </a:rPr>
            <a:t> PROFIT AND CUSTOMER METRICS DASHBOARD </a:t>
          </a:r>
          <a:endParaRPr lang="en-IN" sz="3600">
            <a:solidFill>
              <a:schemeClr val="accent1">
                <a:lumMod val="50000"/>
              </a:schemeClr>
            </a:solidFill>
          </a:endParaRPr>
        </a:p>
      </xdr:txBody>
    </xdr:sp>
    <xdr:clientData/>
  </xdr:twoCellAnchor>
  <xdr:twoCellAnchor>
    <xdr:from>
      <xdr:col>4</xdr:col>
      <xdr:colOff>417286</xdr:colOff>
      <xdr:row>8</xdr:row>
      <xdr:rowOff>81643</xdr:rowOff>
    </xdr:from>
    <xdr:to>
      <xdr:col>6</xdr:col>
      <xdr:colOff>408215</xdr:colOff>
      <xdr:row>10</xdr:row>
      <xdr:rowOff>54429</xdr:rowOff>
    </xdr:to>
    <xdr:sp macro="" textlink="">
      <xdr:nvSpPr>
        <xdr:cNvPr id="22" name="TextBox 21">
          <a:extLst>
            <a:ext uri="{FF2B5EF4-FFF2-40B4-BE49-F238E27FC236}">
              <a16:creationId xmlns:a16="http://schemas.microsoft.com/office/drawing/2014/main" id="{E0D0A4F5-8EF6-3418-9E90-8C60F3A2A9B4}"/>
            </a:ext>
          </a:extLst>
        </xdr:cNvPr>
        <xdr:cNvSpPr txBox="1"/>
      </xdr:nvSpPr>
      <xdr:spPr>
        <a:xfrm>
          <a:off x="2848429" y="1533072"/>
          <a:ext cx="1206500"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Sales  </a:t>
          </a:r>
        </a:p>
      </xdr:txBody>
    </xdr:sp>
    <xdr:clientData/>
  </xdr:twoCellAnchor>
  <xdr:twoCellAnchor>
    <xdr:from>
      <xdr:col>9</xdr:col>
      <xdr:colOff>526143</xdr:colOff>
      <xdr:row>8</xdr:row>
      <xdr:rowOff>27213</xdr:rowOff>
    </xdr:from>
    <xdr:to>
      <xdr:col>12</xdr:col>
      <xdr:colOff>526142</xdr:colOff>
      <xdr:row>11</xdr:row>
      <xdr:rowOff>27214</xdr:rowOff>
    </xdr:to>
    <xdr:sp macro="" textlink="">
      <xdr:nvSpPr>
        <xdr:cNvPr id="23" name="TextBox 22">
          <a:extLst>
            <a:ext uri="{FF2B5EF4-FFF2-40B4-BE49-F238E27FC236}">
              <a16:creationId xmlns:a16="http://schemas.microsoft.com/office/drawing/2014/main" id="{64F7BDA0-1C04-A323-2ED3-19A8E04C06B1}"/>
            </a:ext>
          </a:extLst>
        </xdr:cNvPr>
        <xdr:cNvSpPr txBox="1"/>
      </xdr:nvSpPr>
      <xdr:spPr>
        <a:xfrm>
          <a:off x="5996214" y="1478642"/>
          <a:ext cx="1823357"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Profit</a:t>
          </a:r>
        </a:p>
      </xdr:txBody>
    </xdr:sp>
    <xdr:clientData/>
  </xdr:twoCellAnchor>
  <xdr:twoCellAnchor>
    <xdr:from>
      <xdr:col>15</xdr:col>
      <xdr:colOff>36286</xdr:colOff>
      <xdr:row>8</xdr:row>
      <xdr:rowOff>27214</xdr:rowOff>
    </xdr:from>
    <xdr:to>
      <xdr:col>18</xdr:col>
      <xdr:colOff>235857</xdr:colOff>
      <xdr:row>10</xdr:row>
      <xdr:rowOff>136072</xdr:rowOff>
    </xdr:to>
    <xdr:sp macro="" textlink="">
      <xdr:nvSpPr>
        <xdr:cNvPr id="24" name="TextBox 23">
          <a:extLst>
            <a:ext uri="{FF2B5EF4-FFF2-40B4-BE49-F238E27FC236}">
              <a16:creationId xmlns:a16="http://schemas.microsoft.com/office/drawing/2014/main" id="{24642BD4-852D-DC7B-E7B0-41E2953AFDC6}"/>
            </a:ext>
          </a:extLst>
        </xdr:cNvPr>
        <xdr:cNvSpPr txBox="1"/>
      </xdr:nvSpPr>
      <xdr:spPr>
        <a:xfrm>
          <a:off x="9153072" y="1478643"/>
          <a:ext cx="2022928" cy="47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Customer Count </a:t>
          </a:r>
        </a:p>
      </xdr:txBody>
    </xdr:sp>
    <xdr:clientData/>
  </xdr:twoCellAnchor>
  <xdr:twoCellAnchor>
    <xdr:from>
      <xdr:col>20</xdr:col>
      <xdr:colOff>371929</xdr:colOff>
      <xdr:row>8</xdr:row>
      <xdr:rowOff>36285</xdr:rowOff>
    </xdr:from>
    <xdr:to>
      <xdr:col>23</xdr:col>
      <xdr:colOff>117929</xdr:colOff>
      <xdr:row>9</xdr:row>
      <xdr:rowOff>181428</xdr:rowOff>
    </xdr:to>
    <xdr:sp macro="" textlink="">
      <xdr:nvSpPr>
        <xdr:cNvPr id="25" name="TextBox 24">
          <a:extLst>
            <a:ext uri="{FF2B5EF4-FFF2-40B4-BE49-F238E27FC236}">
              <a16:creationId xmlns:a16="http://schemas.microsoft.com/office/drawing/2014/main" id="{5B23740A-C022-5132-EE0D-B7CBE7FD93AE}"/>
            </a:ext>
          </a:extLst>
        </xdr:cNvPr>
        <xdr:cNvSpPr txBox="1"/>
      </xdr:nvSpPr>
      <xdr:spPr>
        <a:xfrm>
          <a:off x="12527643" y="1487714"/>
          <a:ext cx="1569357"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Target</a:t>
          </a:r>
        </a:p>
      </xdr:txBody>
    </xdr:sp>
    <xdr:clientData/>
  </xdr:twoCellAnchor>
  <xdr:twoCellAnchor>
    <xdr:from>
      <xdr:col>4</xdr:col>
      <xdr:colOff>234043</xdr:colOff>
      <xdr:row>10</xdr:row>
      <xdr:rowOff>45357</xdr:rowOff>
    </xdr:from>
    <xdr:to>
      <xdr:col>7</xdr:col>
      <xdr:colOff>317501</xdr:colOff>
      <xdr:row>13</xdr:row>
      <xdr:rowOff>61687</xdr:rowOff>
    </xdr:to>
    <xdr:sp macro="" textlink="pivot!S17">
      <xdr:nvSpPr>
        <xdr:cNvPr id="27" name="TextBox 26">
          <a:extLst>
            <a:ext uri="{FF2B5EF4-FFF2-40B4-BE49-F238E27FC236}">
              <a16:creationId xmlns:a16="http://schemas.microsoft.com/office/drawing/2014/main" id="{7173F624-D99C-4904-AB2E-168ACB059D70}"/>
            </a:ext>
          </a:extLst>
        </xdr:cNvPr>
        <xdr:cNvSpPr txBox="1"/>
      </xdr:nvSpPr>
      <xdr:spPr>
        <a:xfrm>
          <a:off x="2665186" y="1859643"/>
          <a:ext cx="1906815" cy="560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595473-C023-4B40-89B1-583F4DF4EFC3}" type="TxLink">
            <a:rPr lang="en-US" sz="2400" b="1" i="0" u="none" strike="noStrike">
              <a:solidFill>
                <a:srgbClr val="000000"/>
              </a:solidFill>
              <a:latin typeface="Aptos Narrow"/>
            </a:rPr>
            <a:pPr/>
            <a:t> ₹ 1,57,361.0 </a:t>
          </a:fld>
          <a:endParaRPr lang="en-IN" sz="2400" b="1"/>
        </a:p>
      </xdr:txBody>
    </xdr:sp>
    <xdr:clientData/>
  </xdr:twoCellAnchor>
  <xdr:twoCellAnchor>
    <xdr:from>
      <xdr:col>9</xdr:col>
      <xdr:colOff>402771</xdr:colOff>
      <xdr:row>10</xdr:row>
      <xdr:rowOff>41729</xdr:rowOff>
    </xdr:from>
    <xdr:to>
      <xdr:col>13</xdr:col>
      <xdr:colOff>226785</xdr:colOff>
      <xdr:row>12</xdr:row>
      <xdr:rowOff>172357</xdr:rowOff>
    </xdr:to>
    <xdr:sp macro="" textlink="pivot!S18">
      <xdr:nvSpPr>
        <xdr:cNvPr id="28" name="TextBox 27">
          <a:extLst>
            <a:ext uri="{FF2B5EF4-FFF2-40B4-BE49-F238E27FC236}">
              <a16:creationId xmlns:a16="http://schemas.microsoft.com/office/drawing/2014/main" id="{268AC17C-0D96-4AA8-B307-BE727ED8962B}"/>
            </a:ext>
          </a:extLst>
        </xdr:cNvPr>
        <xdr:cNvSpPr txBox="1"/>
      </xdr:nvSpPr>
      <xdr:spPr>
        <a:xfrm>
          <a:off x="5872842" y="1856015"/>
          <a:ext cx="2255157" cy="49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CCCE70-429C-4599-813E-2598A69AF347}" type="TxLink">
            <a:rPr lang="en-US" sz="2400" b="1" i="0" u="none" strike="noStrike">
              <a:solidFill>
                <a:srgbClr val="000000"/>
              </a:solidFill>
              <a:latin typeface="Aptos Narrow"/>
            </a:rPr>
            <a:pPr/>
            <a:t> ₹ 1,13,300.9 </a:t>
          </a:fld>
          <a:endParaRPr lang="en-IN" sz="2400" b="1"/>
        </a:p>
      </xdr:txBody>
    </xdr:sp>
    <xdr:clientData/>
  </xdr:twoCellAnchor>
  <xdr:twoCellAnchor>
    <xdr:from>
      <xdr:col>15</xdr:col>
      <xdr:colOff>186869</xdr:colOff>
      <xdr:row>10</xdr:row>
      <xdr:rowOff>61685</xdr:rowOff>
    </xdr:from>
    <xdr:to>
      <xdr:col>18</xdr:col>
      <xdr:colOff>299355</xdr:colOff>
      <xdr:row>12</xdr:row>
      <xdr:rowOff>34471</xdr:rowOff>
    </xdr:to>
    <xdr:sp macro="" textlink="pivot!S19">
      <xdr:nvSpPr>
        <xdr:cNvPr id="29" name="TextBox 28">
          <a:extLst>
            <a:ext uri="{FF2B5EF4-FFF2-40B4-BE49-F238E27FC236}">
              <a16:creationId xmlns:a16="http://schemas.microsoft.com/office/drawing/2014/main" id="{243BBA5E-14CC-40A5-915D-91F5F30698E8}"/>
            </a:ext>
          </a:extLst>
        </xdr:cNvPr>
        <xdr:cNvSpPr txBox="1"/>
      </xdr:nvSpPr>
      <xdr:spPr>
        <a:xfrm>
          <a:off x="9303655" y="1875971"/>
          <a:ext cx="1935843"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41835E-31C6-4C7D-9FFD-ED35DF97CB9A}" type="TxLink">
            <a:rPr lang="en-US" sz="2400" b="1" i="0" u="none" strike="noStrike">
              <a:solidFill>
                <a:srgbClr val="000000"/>
              </a:solidFill>
              <a:latin typeface="Aptos Narrow"/>
            </a:rPr>
            <a:pPr/>
            <a:t>9360</a:t>
          </a:fld>
          <a:endParaRPr lang="en-IN" sz="2400" b="1"/>
        </a:p>
      </xdr:txBody>
    </xdr:sp>
    <xdr:clientData/>
  </xdr:twoCellAnchor>
  <xdr:twoCellAnchor>
    <xdr:from>
      <xdr:col>20</xdr:col>
      <xdr:colOff>208642</xdr:colOff>
      <xdr:row>10</xdr:row>
      <xdr:rowOff>54428</xdr:rowOff>
    </xdr:from>
    <xdr:to>
      <xdr:col>23</xdr:col>
      <xdr:colOff>526143</xdr:colOff>
      <xdr:row>13</xdr:row>
      <xdr:rowOff>56244</xdr:rowOff>
    </xdr:to>
    <xdr:sp macro="" textlink="pivot!S20">
      <xdr:nvSpPr>
        <xdr:cNvPr id="30" name="TextBox 29">
          <a:extLst>
            <a:ext uri="{FF2B5EF4-FFF2-40B4-BE49-F238E27FC236}">
              <a16:creationId xmlns:a16="http://schemas.microsoft.com/office/drawing/2014/main" id="{5D98ADB9-8CB8-4D74-844A-06D688C39699}"/>
            </a:ext>
          </a:extLst>
        </xdr:cNvPr>
        <xdr:cNvSpPr txBox="1"/>
      </xdr:nvSpPr>
      <xdr:spPr>
        <a:xfrm>
          <a:off x="12364356" y="1868714"/>
          <a:ext cx="2140858" cy="546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64E672-9CC2-4228-96DA-2E4895043F04}" type="TxLink">
            <a:rPr lang="en-US" sz="2400" b="1" i="0" u="none" strike="noStrike">
              <a:solidFill>
                <a:srgbClr val="000000"/>
              </a:solidFill>
              <a:latin typeface="Aptos Narrow"/>
            </a:rPr>
            <a:pPr/>
            <a:t> ₹ 1,66,999.0 </a:t>
          </a:fld>
          <a:endParaRPr lang="en-IN" sz="2400" b="1"/>
        </a:p>
      </xdr:txBody>
    </xdr:sp>
    <xdr:clientData/>
  </xdr:twoCellAnchor>
  <xdr:twoCellAnchor>
    <xdr:from>
      <xdr:col>7</xdr:col>
      <xdr:colOff>18143</xdr:colOff>
      <xdr:row>7</xdr:row>
      <xdr:rowOff>163286</xdr:rowOff>
    </xdr:from>
    <xdr:to>
      <xdr:col>9</xdr:col>
      <xdr:colOff>247223</xdr:colOff>
      <xdr:row>14</xdr:row>
      <xdr:rowOff>9071</xdr:rowOff>
    </xdr:to>
    <xdr:graphicFrame macro="">
      <xdr:nvGraphicFramePr>
        <xdr:cNvPr id="31" name="Chart 30">
          <a:extLst>
            <a:ext uri="{FF2B5EF4-FFF2-40B4-BE49-F238E27FC236}">
              <a16:creationId xmlns:a16="http://schemas.microsoft.com/office/drawing/2014/main" id="{E6D90393-C7AF-4E98-940F-D24C1C58B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508001</xdr:colOff>
      <xdr:row>10</xdr:row>
      <xdr:rowOff>9072</xdr:rowOff>
    </xdr:from>
    <xdr:to>
      <xdr:col>8</xdr:col>
      <xdr:colOff>453573</xdr:colOff>
      <xdr:row>12</xdr:row>
      <xdr:rowOff>108858</xdr:rowOff>
    </xdr:to>
    <xdr:sp macro="" textlink="pivot!$S$8">
      <xdr:nvSpPr>
        <xdr:cNvPr id="32" name="TextBox 31">
          <a:extLst>
            <a:ext uri="{FF2B5EF4-FFF2-40B4-BE49-F238E27FC236}">
              <a16:creationId xmlns:a16="http://schemas.microsoft.com/office/drawing/2014/main" id="{E76B7845-25A2-45B0-B33F-31565AF7038F}"/>
            </a:ext>
          </a:extLst>
        </xdr:cNvPr>
        <xdr:cNvSpPr txBox="1"/>
      </xdr:nvSpPr>
      <xdr:spPr>
        <a:xfrm>
          <a:off x="4762501" y="1823358"/>
          <a:ext cx="553358"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FEBCE2-3247-46C3-A64F-49F6CE8B8955}"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86%</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154214</xdr:colOff>
      <xdr:row>7</xdr:row>
      <xdr:rowOff>145142</xdr:rowOff>
    </xdr:from>
    <xdr:to>
      <xdr:col>14</xdr:col>
      <xdr:colOff>337937</xdr:colOff>
      <xdr:row>13</xdr:row>
      <xdr:rowOff>145144</xdr:rowOff>
    </xdr:to>
    <xdr:graphicFrame macro="">
      <xdr:nvGraphicFramePr>
        <xdr:cNvPr id="33" name="Chart 32">
          <a:extLst>
            <a:ext uri="{FF2B5EF4-FFF2-40B4-BE49-F238E27FC236}">
              <a16:creationId xmlns:a16="http://schemas.microsoft.com/office/drawing/2014/main" id="{3E867683-546E-4746-AF88-CF02566D9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351972</xdr:colOff>
      <xdr:row>7</xdr:row>
      <xdr:rowOff>108856</xdr:rowOff>
    </xdr:from>
    <xdr:to>
      <xdr:col>19</xdr:col>
      <xdr:colOff>581051</xdr:colOff>
      <xdr:row>13</xdr:row>
      <xdr:rowOff>136070</xdr:rowOff>
    </xdr:to>
    <xdr:graphicFrame macro="">
      <xdr:nvGraphicFramePr>
        <xdr:cNvPr id="35" name="Chart 34">
          <a:extLst>
            <a:ext uri="{FF2B5EF4-FFF2-40B4-BE49-F238E27FC236}">
              <a16:creationId xmlns:a16="http://schemas.microsoft.com/office/drawing/2014/main" id="{E5EEB75E-C14A-449C-B6E4-94AD91764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9071</xdr:colOff>
      <xdr:row>8</xdr:row>
      <xdr:rowOff>10885</xdr:rowOff>
    </xdr:from>
    <xdr:to>
      <xdr:col>25</xdr:col>
      <xdr:colOff>192793</xdr:colOff>
      <xdr:row>14</xdr:row>
      <xdr:rowOff>10887</xdr:rowOff>
    </xdr:to>
    <xdr:graphicFrame macro="">
      <xdr:nvGraphicFramePr>
        <xdr:cNvPr id="36" name="Chart 35">
          <a:extLst>
            <a:ext uri="{FF2B5EF4-FFF2-40B4-BE49-F238E27FC236}">
              <a16:creationId xmlns:a16="http://schemas.microsoft.com/office/drawing/2014/main" id="{ECBF323B-7370-415C-B96C-B839A2C22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399141</xdr:colOff>
      <xdr:row>15</xdr:row>
      <xdr:rowOff>39913</xdr:rowOff>
    </xdr:from>
    <xdr:to>
      <xdr:col>12</xdr:col>
      <xdr:colOff>126998</xdr:colOff>
      <xdr:row>34</xdr:row>
      <xdr:rowOff>27215</xdr:rowOff>
    </xdr:to>
    <xdr:graphicFrame macro="">
      <xdr:nvGraphicFramePr>
        <xdr:cNvPr id="6" name="Chart 5">
          <a:extLst>
            <a:ext uri="{FF2B5EF4-FFF2-40B4-BE49-F238E27FC236}">
              <a16:creationId xmlns:a16="http://schemas.microsoft.com/office/drawing/2014/main" id="{C811E606-B847-4F71-9969-4B0C9B815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393972</xdr:colOff>
      <xdr:row>15</xdr:row>
      <xdr:rowOff>93945</xdr:rowOff>
    </xdr:from>
    <xdr:to>
      <xdr:col>20</xdr:col>
      <xdr:colOff>0</xdr:colOff>
      <xdr:row>33</xdr:row>
      <xdr:rowOff>93944</xdr:rowOff>
    </xdr:to>
    <xdr:graphicFrame macro="">
      <xdr:nvGraphicFramePr>
        <xdr:cNvPr id="7" name="Chart 6">
          <a:extLst>
            <a:ext uri="{FF2B5EF4-FFF2-40B4-BE49-F238E27FC236}">
              <a16:creationId xmlns:a16="http://schemas.microsoft.com/office/drawing/2014/main" id="{91A7A4DF-AB11-41C4-83C7-7A1EF7452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234416</xdr:colOff>
      <xdr:row>35</xdr:row>
      <xdr:rowOff>83508</xdr:rowOff>
    </xdr:from>
    <xdr:to>
      <xdr:col>11</xdr:col>
      <xdr:colOff>521917</xdr:colOff>
      <xdr:row>53</xdr:row>
      <xdr:rowOff>10438</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06E01147-F2A2-4301-9801-C891C57455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656115" y="6659672"/>
              <a:ext cx="4525473" cy="33089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354905</xdr:colOff>
      <xdr:row>35</xdr:row>
      <xdr:rowOff>73069</xdr:rowOff>
    </xdr:from>
    <xdr:to>
      <xdr:col>19</xdr:col>
      <xdr:colOff>542795</xdr:colOff>
      <xdr:row>53</xdr:row>
      <xdr:rowOff>156574</xdr:rowOff>
    </xdr:to>
    <xdr:graphicFrame macro="">
      <xdr:nvGraphicFramePr>
        <xdr:cNvPr id="15" name="Chart 14">
          <a:extLst>
            <a:ext uri="{FF2B5EF4-FFF2-40B4-BE49-F238E27FC236}">
              <a16:creationId xmlns:a16="http://schemas.microsoft.com/office/drawing/2014/main" id="{EFECBA14-4E12-4318-AFCF-56BBBD154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271397</xdr:colOff>
      <xdr:row>16</xdr:row>
      <xdr:rowOff>50550</xdr:rowOff>
    </xdr:from>
    <xdr:to>
      <xdr:col>25</xdr:col>
      <xdr:colOff>313151</xdr:colOff>
      <xdr:row>50</xdr:row>
      <xdr:rowOff>10437</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072F8C2C-FFE6-43EC-ABE2-106BDE48C1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379890" y="3056797"/>
              <a:ext cx="3068877" cy="63481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279002</xdr:colOff>
      <xdr:row>8</xdr:row>
      <xdr:rowOff>135699</xdr:rowOff>
    </xdr:from>
    <xdr:to>
      <xdr:col>3</xdr:col>
      <xdr:colOff>553232</xdr:colOff>
      <xdr:row>19</xdr:row>
      <xdr:rowOff>125260</xdr:rowOff>
    </xdr:to>
    <mc:AlternateContent xmlns:mc="http://schemas.openxmlformats.org/markup-compatibility/2006">
      <mc:Choice xmlns:a14="http://schemas.microsoft.com/office/drawing/2010/main" Requires="a14">
        <xdr:graphicFrame macro="">
          <xdr:nvGraphicFramePr>
            <xdr:cNvPr id="34" name="Quarter 1">
              <a:extLst>
                <a:ext uri="{FF2B5EF4-FFF2-40B4-BE49-F238E27FC236}">
                  <a16:creationId xmlns:a16="http://schemas.microsoft.com/office/drawing/2014/main" id="{6F8BE574-4454-4FE3-B8AB-A0A118BC48A2}"/>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279002" y="1638822"/>
              <a:ext cx="2090504" cy="2056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245450</xdr:colOff>
      <xdr:row>22</xdr:row>
      <xdr:rowOff>116909</xdr:rowOff>
    </xdr:from>
    <xdr:to>
      <xdr:col>3</xdr:col>
      <xdr:colOff>430176</xdr:colOff>
      <xdr:row>48</xdr:row>
      <xdr:rowOff>114822</xdr:rowOff>
    </xdr:to>
    <mc:AlternateContent xmlns:mc="http://schemas.openxmlformats.org/markup-compatibility/2006">
      <mc:Choice xmlns:a14="http://schemas.microsoft.com/office/drawing/2010/main" Requires="a14">
        <xdr:graphicFrame macro="">
          <xdr:nvGraphicFramePr>
            <xdr:cNvPr id="37" name="Month 1">
              <a:extLst>
                <a:ext uri="{FF2B5EF4-FFF2-40B4-BE49-F238E27FC236}">
                  <a16:creationId xmlns:a16="http://schemas.microsoft.com/office/drawing/2014/main" id="{5276AD52-47CF-40BA-B9AD-20CEA2CDB95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45450" y="4250498"/>
              <a:ext cx="2001000" cy="4883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0.30858</cdr:x>
      <cdr:y>0.33</cdr:y>
    </cdr:from>
    <cdr:to>
      <cdr:x>0.70404</cdr:x>
      <cdr:y>0.755</cdr:y>
    </cdr:to>
    <cdr:sp macro="" textlink="pivot!$S$10">
      <cdr:nvSpPr>
        <cdr:cNvPr id="2" name="TextBox 31">
          <a:extLst xmlns:a="http://schemas.openxmlformats.org/drawingml/2006/main">
            <a:ext uri="{FF2B5EF4-FFF2-40B4-BE49-F238E27FC236}">
              <a16:creationId xmlns:a16="http://schemas.microsoft.com/office/drawing/2014/main" id="{E76B7845-25A2-45B0-B33F-31565AF7038F}"/>
            </a:ext>
          </a:extLst>
        </cdr:cNvPr>
        <cdr:cNvSpPr txBox="1"/>
      </cdr:nvSpPr>
      <cdr:spPr>
        <a:xfrm xmlns:a="http://schemas.openxmlformats.org/drawingml/2006/main">
          <a:off x="431800" y="359229"/>
          <a:ext cx="553358" cy="46264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4B4C5438-F785-404E-88E3-BBDB2BF3BC01}" type="TxLink">
            <a:rPr lang="en-US" sz="1600" b="1" i="0" u="none" strike="noStrike">
              <a:solidFill>
                <a:srgbClr val="000000"/>
              </a:solidFill>
              <a:latin typeface="Aptos Narrow"/>
              <a:ea typeface="Calibri" panose="020F0502020204030204" pitchFamily="34" charset="0"/>
              <a:cs typeface="Calibri" panose="020F0502020204030204" pitchFamily="34" charset="0"/>
            </a:rPr>
            <a:pPr/>
            <a:t>85%</a:t>
          </a:fld>
          <a:endParaRPr lang="en-IN" sz="1600" b="1">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0.31773</cdr:x>
      <cdr:y>0.32195</cdr:y>
    </cdr:from>
    <cdr:to>
      <cdr:x>0.70077</cdr:x>
      <cdr:y>0.73659</cdr:y>
    </cdr:to>
    <cdr:sp macro="" textlink="pivot!$S$12">
      <cdr:nvSpPr>
        <cdr:cNvPr id="2" name="TextBox 31">
          <a:extLst xmlns:a="http://schemas.openxmlformats.org/drawingml/2006/main">
            <a:ext uri="{FF2B5EF4-FFF2-40B4-BE49-F238E27FC236}">
              <a16:creationId xmlns:a16="http://schemas.microsoft.com/office/drawing/2014/main" id="{E76B7845-25A2-45B0-B33F-31565AF7038F}"/>
            </a:ext>
          </a:extLst>
        </cdr:cNvPr>
        <cdr:cNvSpPr txBox="1"/>
      </cdr:nvSpPr>
      <cdr:spPr>
        <a:xfrm xmlns:a="http://schemas.openxmlformats.org/drawingml/2006/main">
          <a:off x="459010" y="359227"/>
          <a:ext cx="553359" cy="46264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2627526C-2237-4D03-9518-810AD9EDFF25}" type="TxLink">
            <a:rPr lang="en-US" sz="1600" b="1" i="0" u="none" strike="noStrike">
              <a:solidFill>
                <a:srgbClr val="000000"/>
              </a:solidFill>
              <a:latin typeface="Aptos Narrow"/>
              <a:ea typeface="Calibri" panose="020F0502020204030204" pitchFamily="34" charset="0"/>
              <a:cs typeface="Calibri" panose="020F0502020204030204" pitchFamily="34" charset="0"/>
            </a:rPr>
            <a:pPr marL="0" indent="0"/>
            <a:t>84%</a:t>
          </a:fld>
          <a:endParaRPr lang="en-IN" sz="1600" b="1" i="0" u="none" strike="noStrike">
            <a:solidFill>
              <a:srgbClr val="000000"/>
            </a:solidFill>
            <a:latin typeface="Aptos Narrow"/>
            <a:ea typeface="Calibri" panose="020F0502020204030204" pitchFamily="34" charset="0"/>
            <a:cs typeface="Calibri" panose="020F050202020403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0.29562</cdr:x>
      <cdr:y>0.31333</cdr:y>
    </cdr:from>
    <cdr:to>
      <cdr:x>0.69107</cdr:x>
      <cdr:y>0.73833</cdr:y>
    </cdr:to>
    <cdr:sp macro="" textlink="">
      <cdr:nvSpPr>
        <cdr:cNvPr id="2" name="TextBox 31">
          <a:extLst xmlns:a="http://schemas.openxmlformats.org/drawingml/2006/main">
            <a:ext uri="{FF2B5EF4-FFF2-40B4-BE49-F238E27FC236}">
              <a16:creationId xmlns:a16="http://schemas.microsoft.com/office/drawing/2014/main" id="{E76B7845-25A2-45B0-B33F-31565AF7038F}"/>
            </a:ext>
          </a:extLst>
        </cdr:cNvPr>
        <cdr:cNvSpPr txBox="1"/>
      </cdr:nvSpPr>
      <cdr:spPr>
        <a:xfrm xmlns:a="http://schemas.openxmlformats.org/drawingml/2006/main">
          <a:off x="413657" y="341086"/>
          <a:ext cx="553358" cy="46264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600" b="1">
              <a:latin typeface="Calibri" panose="020F0502020204030204" pitchFamily="34" charset="0"/>
              <a:ea typeface="Calibri" panose="020F0502020204030204" pitchFamily="34" charset="0"/>
              <a:cs typeface="Calibri" panose="020F0502020204030204" pitchFamily="34" charset="0"/>
            </a:rPr>
            <a:t>94%</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a" refreshedDate="46032.932708101849" createdVersion="8" refreshedVersion="8" minRefreshableVersion="3" recordCount="63" xr:uid="{D2355D33-81EE-4A75-8290-10843634E860}">
  <cacheSource type="worksheet">
    <worksheetSource name="Table1"/>
  </cacheSource>
  <cacheFields count="14">
    <cacheField name="Date" numFmtId="14">
      <sharedItems containsSemiMixedTypes="0" containsNonDate="0" containsDate="1" containsString="0" minDate="2023-01-02T00:00:00" maxDate="2023-12-16T00:00:00"/>
    </cacheField>
    <cacheField name="Region" numFmtId="0">
      <sharedItems count="4">
        <s v="East"/>
        <s v="West"/>
        <s v="South"/>
        <s v="North"/>
      </sharedItems>
    </cacheField>
    <cacheField name="Sales" numFmtId="164">
      <sharedItems containsSemiMixedTypes="0" containsString="0" containsNumber="1" containsInteger="1" minValue="1000" maxValue="6500"/>
    </cacheField>
    <cacheField name="Profit" numFmtId="164">
      <sharedItems containsSemiMixedTypes="0" containsString="0" containsNumber="1" minValue="385.71428571428601" maxValue="5214.2857142857101"/>
    </cacheField>
    <cacheField name="Target Sales" numFmtId="164">
      <sharedItems containsSemiMixedTypes="0" containsString="0" containsNumber="1" minValue="285.71428571428572" maxValue="6714.2857142857101"/>
    </cacheField>
    <cacheField name="No of Customers" numFmtId="0">
      <sharedItems containsSemiMixedTypes="0" containsString="0" containsNumber="1" containsInteger="1" minValue="15" maxValue="310"/>
    </cacheField>
    <cacheField name="Sales Completion Rate" numFmtId="0">
      <sharedItems containsSemiMixedTypes="0" containsString="0" containsNumber="1" minValue="0.7" maxValue="0.99"/>
    </cacheField>
    <cacheField name="Profit Completion Rate" numFmtId="0">
      <sharedItems containsSemiMixedTypes="0" containsString="0" containsNumber="1" minValue="0.7" maxValue="0.99"/>
    </cacheField>
    <cacheField name="Customer Completion Rate" numFmtId="0">
      <sharedItems containsSemiMixedTypes="0" containsString="0" containsNumber="1" minValue="0.7" maxValue="0.99"/>
    </cacheField>
    <cacheField name="Country" numFmtId="0">
      <sharedItems count="5">
        <s v="Argentina"/>
        <s v="Colombia"/>
        <s v="Brazil"/>
        <s v="Ecuador"/>
        <s v="Peru"/>
      </sharedItems>
    </cacheField>
    <cacheField name="Customer Satisfaction" numFmtId="0">
      <sharedItems count="5">
        <s v="Speed"/>
        <s v="Quality"/>
        <s v="Hygiene"/>
        <s v="Service"/>
        <s v="Availability"/>
      </sharedItems>
    </cacheField>
    <cacheField name="Score" numFmtId="0">
      <sharedItems containsSemiMixedTypes="0" containsString="0" containsNumber="1" containsInteger="1" minValue="2" maxValue="9"/>
    </cacheField>
    <cacheField name="Month" numFmtId="0">
      <sharedItems count="12">
        <s v="May"/>
        <s v="Feb"/>
        <s v="Oct"/>
        <s v="Nov"/>
        <s v="Mar"/>
        <s v="Apr"/>
        <s v="Aug"/>
        <s v="Jun"/>
        <s v="Jul"/>
        <s v="Sep"/>
        <s v="Dec"/>
        <s v="Jan"/>
      </sharedItems>
    </cacheField>
    <cacheField name="Quarter" numFmtId="0">
      <sharedItems count="4">
        <s v="Q2"/>
        <s v="Q1"/>
        <s v="Q4"/>
        <s v="Q3"/>
      </sharedItems>
    </cacheField>
  </cacheFields>
  <extLst>
    <ext xmlns:x14="http://schemas.microsoft.com/office/spreadsheetml/2009/9/main" uri="{725AE2AE-9491-48be-B2B4-4EB974FC3084}">
      <x14:pivotCacheDefinition pivotCacheId="526925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d v="2023-05-14T00:00:00"/>
    <x v="0"/>
    <n v="2581"/>
    <n v="2957.1428571428601"/>
    <n v="5857"/>
    <n v="80"/>
    <n v="0.89"/>
    <n v="0.85"/>
    <n v="0.72"/>
    <x v="0"/>
    <x v="0"/>
    <n v="8"/>
    <x v="0"/>
    <x v="0"/>
  </r>
  <r>
    <d v="2023-02-26T00:00:00"/>
    <x v="1"/>
    <n v="3944"/>
    <n v="2957.1428571428601"/>
    <n v="5857"/>
    <n v="30"/>
    <n v="0.94"/>
    <n v="0.95"/>
    <n v="0.86"/>
    <x v="1"/>
    <x v="1"/>
    <n v="4"/>
    <x v="1"/>
    <x v="1"/>
  </r>
  <r>
    <d v="2023-02-27T00:00:00"/>
    <x v="2"/>
    <n v="3293"/>
    <n v="2957.1428571428601"/>
    <n v="5857"/>
    <n v="15"/>
    <n v="0.82"/>
    <n v="0.8"/>
    <n v="0.76"/>
    <x v="2"/>
    <x v="2"/>
    <n v="3"/>
    <x v="1"/>
    <x v="1"/>
  </r>
  <r>
    <d v="2023-02-28T00:00:00"/>
    <x v="2"/>
    <n v="2019"/>
    <n v="2957.1428571428601"/>
    <n v="5857"/>
    <n v="40"/>
    <n v="0.79"/>
    <n v="0.79"/>
    <n v="0.79"/>
    <x v="3"/>
    <x v="0"/>
    <n v="2"/>
    <x v="1"/>
    <x v="1"/>
  </r>
  <r>
    <d v="2023-10-29T00:00:00"/>
    <x v="1"/>
    <n v="2980"/>
    <n v="2958"/>
    <n v="5857"/>
    <n v="100"/>
    <n v="0.96"/>
    <n v="0.79"/>
    <n v="0.7"/>
    <x v="4"/>
    <x v="3"/>
    <n v="7"/>
    <x v="2"/>
    <x v="2"/>
  </r>
  <r>
    <d v="2023-10-30T00:00:00"/>
    <x v="1"/>
    <n v="2209"/>
    <n v="2957.1428571428601"/>
    <n v="5857"/>
    <n v="15"/>
    <n v="0.79"/>
    <n v="0.79"/>
    <n v="0.77"/>
    <x v="4"/>
    <x v="0"/>
    <n v="9"/>
    <x v="2"/>
    <x v="2"/>
  </r>
  <r>
    <d v="2023-10-31T00:00:00"/>
    <x v="3"/>
    <n v="2440"/>
    <n v="2957.1428571428601"/>
    <n v="5857"/>
    <n v="20"/>
    <n v="0.75"/>
    <n v="0.72"/>
    <n v="0.93"/>
    <x v="4"/>
    <x v="1"/>
    <n v="5"/>
    <x v="2"/>
    <x v="2"/>
  </r>
  <r>
    <d v="2023-11-01T00:00:00"/>
    <x v="3"/>
    <n v="2000"/>
    <n v="1328.57142857143"/>
    <n v="4428.5714285714303"/>
    <n v="90"/>
    <n v="0.92"/>
    <n v="0.99"/>
    <n v="0.74"/>
    <x v="2"/>
    <x v="1"/>
    <n v="6"/>
    <x v="3"/>
    <x v="2"/>
  </r>
  <r>
    <d v="2023-11-02T00:00:00"/>
    <x v="3"/>
    <n v="1431"/>
    <n v="1328.57142857143"/>
    <n v="4428.5714285714303"/>
    <n v="30"/>
    <n v="0.7"/>
    <n v="0.99"/>
    <n v="0.95"/>
    <x v="2"/>
    <x v="3"/>
    <n v="8"/>
    <x v="3"/>
    <x v="2"/>
  </r>
  <r>
    <d v="2023-11-03T00:00:00"/>
    <x v="1"/>
    <n v="3000"/>
    <n v="1328.57142857143"/>
    <n v="4428.5714285714303"/>
    <n v="15"/>
    <n v="0.91"/>
    <n v="0.98"/>
    <n v="0.89"/>
    <x v="2"/>
    <x v="3"/>
    <n v="4"/>
    <x v="3"/>
    <x v="2"/>
  </r>
  <r>
    <d v="2023-05-14T00:00:00"/>
    <x v="1"/>
    <n v="4000"/>
    <n v="1328.57142857143"/>
    <n v="4428.5714285714303"/>
    <n v="40"/>
    <n v="0.74"/>
    <n v="0.85"/>
    <n v="0.7"/>
    <x v="2"/>
    <x v="0"/>
    <n v="3"/>
    <x v="0"/>
    <x v="0"/>
  </r>
  <r>
    <d v="2023-10-26T00:00:00"/>
    <x v="0"/>
    <n v="1000"/>
    <n v="1328.57142857143"/>
    <n v="4428.5714285714303"/>
    <n v="100"/>
    <n v="0.9"/>
    <n v="0.9"/>
    <n v="0.72"/>
    <x v="2"/>
    <x v="1"/>
    <n v="2"/>
    <x v="2"/>
    <x v="2"/>
  </r>
  <r>
    <d v="2023-03-10T00:00:00"/>
    <x v="0"/>
    <n v="2000"/>
    <n v="1328.57142857143"/>
    <n v="4428.5714285714303"/>
    <n v="15"/>
    <n v="0.95"/>
    <n v="0.97"/>
    <n v="0.81"/>
    <x v="2"/>
    <x v="2"/>
    <n v="7"/>
    <x v="4"/>
    <x v="1"/>
  </r>
  <r>
    <d v="2023-04-28T00:00:00"/>
    <x v="2"/>
    <n v="2000"/>
    <n v="1328.57142857143"/>
    <n v="4428.5714285714303"/>
    <n v="20"/>
    <n v="0.99"/>
    <n v="0.79"/>
    <n v="0.75"/>
    <x v="2"/>
    <x v="3"/>
    <n v="9"/>
    <x v="5"/>
    <x v="0"/>
  </r>
  <r>
    <d v="2023-10-19T00:00:00"/>
    <x v="2"/>
    <n v="4000"/>
    <n v="1328.57142857143"/>
    <n v="1428.57142857143"/>
    <n v="45"/>
    <n v="0.86"/>
    <n v="0.97"/>
    <n v="0.89"/>
    <x v="0"/>
    <x v="4"/>
    <n v="5"/>
    <x v="2"/>
    <x v="2"/>
  </r>
  <r>
    <d v="2023-08-22T00:00:00"/>
    <x v="0"/>
    <n v="6000"/>
    <n v="1328.57142857143"/>
    <n v="1428.57142857143"/>
    <n v="43"/>
    <n v="0.83"/>
    <n v="0.72"/>
    <n v="0.74"/>
    <x v="1"/>
    <x v="0"/>
    <n v="6"/>
    <x v="6"/>
    <x v="3"/>
  </r>
  <r>
    <d v="2023-08-09T00:00:00"/>
    <x v="1"/>
    <n v="6500"/>
    <n v="1328.57142857143"/>
    <n v="1428.57142857143"/>
    <n v="43"/>
    <n v="0.74"/>
    <n v="0.78"/>
    <n v="0.94"/>
    <x v="2"/>
    <x v="1"/>
    <n v="8"/>
    <x v="6"/>
    <x v="3"/>
  </r>
  <r>
    <d v="2023-06-01T00:00:00"/>
    <x v="3"/>
    <n v="1200"/>
    <n v="1328.57142857143"/>
    <n v="1428.57142857143"/>
    <n v="43"/>
    <n v="0.8"/>
    <n v="0.84"/>
    <n v="0.81"/>
    <x v="3"/>
    <x v="1"/>
    <n v="4"/>
    <x v="7"/>
    <x v="0"/>
  </r>
  <r>
    <d v="2023-03-01T00:00:00"/>
    <x v="3"/>
    <n v="3000"/>
    <n v="1328.57142857143"/>
    <n v="1428.5714285714287"/>
    <n v="43"/>
    <n v="0.89"/>
    <n v="0.99"/>
    <n v="0.97"/>
    <x v="0"/>
    <x v="0"/>
    <n v="3"/>
    <x v="4"/>
    <x v="1"/>
  </r>
  <r>
    <d v="2023-11-27T00:00:00"/>
    <x v="3"/>
    <n v="2000"/>
    <n v="1328.57142857143"/>
    <n v="1428.5714285714287"/>
    <n v="40"/>
    <n v="0.71"/>
    <n v="0.87"/>
    <n v="0.94"/>
    <x v="1"/>
    <x v="4"/>
    <n v="2"/>
    <x v="3"/>
    <x v="2"/>
  </r>
  <r>
    <d v="2023-10-14T00:00:00"/>
    <x v="3"/>
    <n v="2000"/>
    <n v="1328.57142857143"/>
    <n v="1428.5714285714287"/>
    <n v="43"/>
    <n v="0.9"/>
    <n v="0.72"/>
    <n v="0.94"/>
    <x v="2"/>
    <x v="0"/>
    <n v="7"/>
    <x v="2"/>
    <x v="2"/>
  </r>
  <r>
    <d v="2023-06-21T00:00:00"/>
    <x v="0"/>
    <n v="3000"/>
    <n v="5214.2857142857101"/>
    <n v="6714.2857142857101"/>
    <n v="100"/>
    <n v="0.89"/>
    <n v="0.85"/>
    <n v="0.87"/>
    <x v="3"/>
    <x v="1"/>
    <n v="9"/>
    <x v="7"/>
    <x v="0"/>
  </r>
  <r>
    <d v="2023-07-23T00:00:00"/>
    <x v="2"/>
    <n v="4500"/>
    <n v="5214.2857142857101"/>
    <n v="6714.2857142857101"/>
    <n v="100"/>
    <n v="0.89"/>
    <n v="0.8"/>
    <n v="0.88"/>
    <x v="0"/>
    <x v="2"/>
    <n v="5"/>
    <x v="8"/>
    <x v="3"/>
  </r>
  <r>
    <d v="2023-07-20T00:00:00"/>
    <x v="0"/>
    <n v="5500"/>
    <n v="1214.2857142857099"/>
    <n v="6714.2857142857101"/>
    <n v="100"/>
    <n v="0.98"/>
    <n v="0.99"/>
    <n v="0.81"/>
    <x v="2"/>
    <x v="0"/>
    <n v="6"/>
    <x v="8"/>
    <x v="3"/>
  </r>
  <r>
    <d v="2023-07-22T00:00:00"/>
    <x v="1"/>
    <n v="1000"/>
    <n v="5214.2857142857101"/>
    <n v="6714.2857142857101"/>
    <n v="100"/>
    <n v="0.81"/>
    <n v="0.91"/>
    <n v="0.95"/>
    <x v="3"/>
    <x v="4"/>
    <n v="8"/>
    <x v="8"/>
    <x v="3"/>
  </r>
  <r>
    <d v="2023-04-02T00:00:00"/>
    <x v="0"/>
    <n v="2000"/>
    <n v="5214.2857142857101"/>
    <n v="6714.2857142857101"/>
    <n v="100"/>
    <n v="0.97"/>
    <n v="0.85"/>
    <n v="0.85"/>
    <x v="0"/>
    <x v="0"/>
    <n v="4"/>
    <x v="5"/>
    <x v="0"/>
  </r>
  <r>
    <d v="2023-02-22T00:00:00"/>
    <x v="0"/>
    <n v="2000"/>
    <n v="5214.2857142857101"/>
    <n v="6714.2857142857101"/>
    <n v="100"/>
    <n v="0.89"/>
    <n v="0.94"/>
    <n v="0.8"/>
    <x v="1"/>
    <x v="0"/>
    <n v="3"/>
    <x v="1"/>
    <x v="1"/>
  </r>
  <r>
    <d v="2023-09-10T00:00:00"/>
    <x v="0"/>
    <n v="2000"/>
    <n v="5214.2857142857101"/>
    <n v="6714.2857142857101"/>
    <n v="100"/>
    <n v="0.88"/>
    <n v="0.94"/>
    <n v="0.7"/>
    <x v="2"/>
    <x v="2"/>
    <n v="2"/>
    <x v="9"/>
    <x v="3"/>
  </r>
  <r>
    <d v="2023-12-15T00:00:00"/>
    <x v="0"/>
    <n v="2000"/>
    <n v="2957.1428571428601"/>
    <n v="2857.1428571428573"/>
    <n v="90"/>
    <n v="0.75"/>
    <n v="0.77"/>
    <n v="0.84"/>
    <x v="3"/>
    <x v="3"/>
    <n v="7"/>
    <x v="10"/>
    <x v="2"/>
  </r>
  <r>
    <d v="2023-03-12T00:00:00"/>
    <x v="0"/>
    <n v="1700"/>
    <n v="2957.1428571428601"/>
    <n v="2857.1428571428573"/>
    <n v="80"/>
    <n v="0.73"/>
    <n v="0.96"/>
    <n v="0.93"/>
    <x v="3"/>
    <x v="4"/>
    <n v="4"/>
    <x v="4"/>
    <x v="1"/>
  </r>
  <r>
    <d v="2023-09-10T00:00:00"/>
    <x v="0"/>
    <n v="1600"/>
    <n v="2957.1428571428601"/>
    <n v="2857.1428571428573"/>
    <n v="90"/>
    <n v="0.93"/>
    <n v="0.74"/>
    <n v="0.93"/>
    <x v="2"/>
    <x v="0"/>
    <n v="5"/>
    <x v="9"/>
    <x v="3"/>
  </r>
  <r>
    <d v="2023-01-02T00:00:00"/>
    <x v="1"/>
    <n v="1200"/>
    <n v="2957.1428571428601"/>
    <n v="2857.1428571428573"/>
    <n v="110"/>
    <n v="0.85"/>
    <n v="0.7"/>
    <n v="0.99"/>
    <x v="3"/>
    <x v="1"/>
    <n v="6"/>
    <x v="11"/>
    <x v="1"/>
  </r>
  <r>
    <d v="2023-10-28T00:00:00"/>
    <x v="2"/>
    <n v="2500"/>
    <n v="2957.1428571428601"/>
    <n v="2857.1428571428573"/>
    <n v="90"/>
    <n v="0.92"/>
    <n v="0.99"/>
    <n v="0.88"/>
    <x v="0"/>
    <x v="2"/>
    <n v="8"/>
    <x v="2"/>
    <x v="2"/>
  </r>
  <r>
    <d v="2023-06-26T00:00:00"/>
    <x v="2"/>
    <n v="2100"/>
    <n v="2957.1428571428601"/>
    <n v="2857.1428571428573"/>
    <n v="100"/>
    <n v="0.75"/>
    <n v="0.97"/>
    <n v="0.83"/>
    <x v="1"/>
    <x v="3"/>
    <n v="4"/>
    <x v="7"/>
    <x v="0"/>
  </r>
  <r>
    <d v="2023-11-13T00:00:00"/>
    <x v="2"/>
    <n v="2150"/>
    <n v="2957.1428571428601"/>
    <n v="2857.1428571428573"/>
    <n v="90"/>
    <n v="0.77"/>
    <n v="0.97"/>
    <n v="0.78"/>
    <x v="0"/>
    <x v="4"/>
    <n v="3"/>
    <x v="3"/>
    <x v="2"/>
  </r>
  <r>
    <d v="2023-06-30T00:00:00"/>
    <x v="2"/>
    <n v="2200"/>
    <n v="757.142857142857"/>
    <n v="857.14285714285711"/>
    <n v="228"/>
    <n v="0.79"/>
    <n v="0.75"/>
    <n v="0.93"/>
    <x v="1"/>
    <x v="0"/>
    <n v="2"/>
    <x v="7"/>
    <x v="0"/>
  </r>
  <r>
    <d v="2023-04-14T00:00:00"/>
    <x v="1"/>
    <n v="1800"/>
    <n v="757.142857142857"/>
    <n v="857.14285714285711"/>
    <n v="220"/>
    <n v="0.81"/>
    <n v="0.98"/>
    <n v="0.86"/>
    <x v="2"/>
    <x v="1"/>
    <n v="7"/>
    <x v="5"/>
    <x v="0"/>
  </r>
  <r>
    <d v="2023-12-06T00:00:00"/>
    <x v="3"/>
    <n v="1800"/>
    <n v="757.142857142857"/>
    <n v="857.14285714285711"/>
    <n v="228"/>
    <n v="0.86"/>
    <n v="0.82"/>
    <n v="0.86"/>
    <x v="3"/>
    <x v="2"/>
    <n v="9"/>
    <x v="10"/>
    <x v="2"/>
  </r>
  <r>
    <d v="2023-05-08T00:00:00"/>
    <x v="0"/>
    <n v="1414"/>
    <n v="757.142857142857"/>
    <n v="857.14285714285711"/>
    <n v="238"/>
    <n v="0.72"/>
    <n v="0.95"/>
    <n v="0.9"/>
    <x v="4"/>
    <x v="3"/>
    <n v="5"/>
    <x v="0"/>
    <x v="0"/>
  </r>
  <r>
    <d v="2023-04-03T00:00:00"/>
    <x v="2"/>
    <n v="2100"/>
    <n v="757.142857142857"/>
    <n v="857.14285714285711"/>
    <n v="228"/>
    <n v="0.71"/>
    <n v="0.8"/>
    <n v="0.76"/>
    <x v="4"/>
    <x v="4"/>
    <n v="5"/>
    <x v="5"/>
    <x v="0"/>
  </r>
  <r>
    <d v="2023-06-01T00:00:00"/>
    <x v="2"/>
    <n v="2500"/>
    <n v="757.142857142857"/>
    <n v="857.14285714285711"/>
    <n v="230"/>
    <n v="0.97"/>
    <n v="0.95"/>
    <n v="0.85"/>
    <x v="4"/>
    <x v="0"/>
    <n v="8"/>
    <x v="7"/>
    <x v="0"/>
  </r>
  <r>
    <d v="2023-11-03T00:00:00"/>
    <x v="3"/>
    <n v="2200"/>
    <n v="757.142857142857"/>
    <n v="857.14285714285711"/>
    <n v="228"/>
    <n v="0.95"/>
    <n v="0.85"/>
    <n v="0.91"/>
    <x v="2"/>
    <x v="1"/>
    <n v="4"/>
    <x v="3"/>
    <x v="2"/>
  </r>
  <r>
    <d v="2023-05-14T00:00:00"/>
    <x v="0"/>
    <n v="2500"/>
    <n v="914.28571428571399"/>
    <n v="714.28571428571433"/>
    <n v="250"/>
    <n v="0.97"/>
    <n v="0.7"/>
    <n v="0.93"/>
    <x v="2"/>
    <x v="2"/>
    <n v="3"/>
    <x v="0"/>
    <x v="0"/>
  </r>
  <r>
    <d v="2023-10-26T00:00:00"/>
    <x v="2"/>
    <n v="2200"/>
    <n v="914.28571428571399"/>
    <n v="714.28571428571433"/>
    <n v="240"/>
    <n v="0.9"/>
    <n v="0.98"/>
    <n v="0.96"/>
    <x v="2"/>
    <x v="3"/>
    <n v="2"/>
    <x v="2"/>
    <x v="2"/>
  </r>
  <r>
    <d v="2023-10-27T00:00:00"/>
    <x v="0"/>
    <n v="2500"/>
    <n v="914.28571428571399"/>
    <n v="714.28571428571433"/>
    <n v="270"/>
    <n v="0.9"/>
    <n v="0.95"/>
    <n v="0.98"/>
    <x v="2"/>
    <x v="4"/>
    <n v="3"/>
    <x v="2"/>
    <x v="2"/>
  </r>
  <r>
    <d v="2023-01-28T00:00:00"/>
    <x v="1"/>
    <n v="2000"/>
    <n v="914.28571428571399"/>
    <n v="714.28571428571433"/>
    <n v="259"/>
    <n v="0.96"/>
    <n v="0.81"/>
    <n v="0.85"/>
    <x v="2"/>
    <x v="0"/>
    <n v="9"/>
    <x v="11"/>
    <x v="1"/>
  </r>
  <r>
    <d v="2023-01-29T00:00:00"/>
    <x v="1"/>
    <n v="2500"/>
    <n v="914.28571428571399"/>
    <n v="714.28571428571433"/>
    <n v="260"/>
    <n v="0.98"/>
    <n v="0.84"/>
    <n v="0.89"/>
    <x v="2"/>
    <x v="0"/>
    <n v="5"/>
    <x v="11"/>
    <x v="1"/>
  </r>
  <r>
    <d v="2023-01-30T00:00:00"/>
    <x v="1"/>
    <n v="2500"/>
    <n v="914.28571428571399"/>
    <n v="714.28571428571433"/>
    <n v="260"/>
    <n v="0.76"/>
    <n v="0.7"/>
    <n v="0.86"/>
    <x v="2"/>
    <x v="2"/>
    <n v="6"/>
    <x v="11"/>
    <x v="1"/>
  </r>
  <r>
    <d v="2023-01-31T00:00:00"/>
    <x v="0"/>
    <n v="2500"/>
    <n v="914.28571428571399"/>
    <n v="714.28571428571433"/>
    <n v="261"/>
    <n v="0.91"/>
    <n v="0.77"/>
    <n v="0.75"/>
    <x v="0"/>
    <x v="3"/>
    <n v="8"/>
    <x v="11"/>
    <x v="1"/>
  </r>
  <r>
    <d v="2023-11-01T00:00:00"/>
    <x v="0"/>
    <n v="2500"/>
    <n v="914.28571428571399"/>
    <n v="714.28571428571433"/>
    <n v="242"/>
    <n v="0.79"/>
    <n v="0.81"/>
    <n v="0.74"/>
    <x v="1"/>
    <x v="4"/>
    <n v="4"/>
    <x v="3"/>
    <x v="2"/>
  </r>
  <r>
    <d v="2023-11-02T00:00:00"/>
    <x v="0"/>
    <n v="2250"/>
    <n v="914.28571428571399"/>
    <n v="714.28571428571433"/>
    <n v="250"/>
    <n v="0.85"/>
    <n v="0.82"/>
    <n v="0.73"/>
    <x v="2"/>
    <x v="0"/>
    <n v="3"/>
    <x v="3"/>
    <x v="2"/>
  </r>
  <r>
    <d v="2023-11-03T00:00:00"/>
    <x v="0"/>
    <n v="2500"/>
    <n v="914.28571428571399"/>
    <n v="714.28571428571433"/>
    <n v="242"/>
    <n v="0.88"/>
    <n v="0.84"/>
    <n v="0.75"/>
    <x v="3"/>
    <x v="1"/>
    <n v="2"/>
    <x v="3"/>
    <x v="2"/>
  </r>
  <r>
    <d v="2023-05-14T00:00:00"/>
    <x v="0"/>
    <n v="2500"/>
    <n v="914.28571428571399"/>
    <n v="714.28571428571433"/>
    <n v="242"/>
    <n v="0.81"/>
    <n v="0.92"/>
    <n v="0.91"/>
    <x v="0"/>
    <x v="2"/>
    <n v="7"/>
    <x v="0"/>
    <x v="0"/>
  </r>
  <r>
    <d v="2023-10-26T00:00:00"/>
    <x v="2"/>
    <n v="2500"/>
    <n v="914.28571428571399"/>
    <n v="714.28571428571433"/>
    <n v="242"/>
    <n v="0.84"/>
    <n v="0.73"/>
    <n v="0.99"/>
    <x v="1"/>
    <x v="3"/>
    <n v="9"/>
    <x v="2"/>
    <x v="2"/>
  </r>
  <r>
    <d v="2023-03-10T00:00:00"/>
    <x v="2"/>
    <n v="2500"/>
    <n v="914.28571428571399"/>
    <n v="714.28571428571433"/>
    <n v="240"/>
    <n v="0.93"/>
    <n v="0.79"/>
    <n v="0.72"/>
    <x v="2"/>
    <x v="4"/>
    <n v="5"/>
    <x v="4"/>
    <x v="1"/>
  </r>
  <r>
    <d v="2023-04-28T00:00:00"/>
    <x v="2"/>
    <n v="2500"/>
    <n v="914.28571428571399"/>
    <n v="714.28571428571433"/>
    <n v="242"/>
    <n v="0.84"/>
    <n v="0.79"/>
    <n v="0.8"/>
    <x v="3"/>
    <x v="0"/>
    <n v="6"/>
    <x v="5"/>
    <x v="0"/>
  </r>
  <r>
    <d v="2023-01-19T00:00:00"/>
    <x v="2"/>
    <n v="2200"/>
    <n v="385.71428571428601"/>
    <n v="285.71428571428572"/>
    <n v="285"/>
    <n v="0.85"/>
    <n v="0.91"/>
    <n v="0.84"/>
    <x v="0"/>
    <x v="1"/>
    <n v="8"/>
    <x v="11"/>
    <x v="1"/>
  </r>
  <r>
    <d v="2023-08-22T00:00:00"/>
    <x v="1"/>
    <n v="2150"/>
    <n v="385.71428571428601"/>
    <n v="285.71428571428572"/>
    <n v="275"/>
    <n v="0.86"/>
    <n v="0.75"/>
    <n v="0.96"/>
    <x v="2"/>
    <x v="2"/>
    <n v="4"/>
    <x v="6"/>
    <x v="3"/>
  </r>
  <r>
    <d v="2023-08-09T00:00:00"/>
    <x v="3"/>
    <n v="2400"/>
    <n v="385.71428571428601"/>
    <n v="285.71428571428572"/>
    <n v="285"/>
    <n v="0.96"/>
    <n v="0.77"/>
    <n v="0.92"/>
    <x v="3"/>
    <x v="3"/>
    <n v="3"/>
    <x v="6"/>
    <x v="3"/>
  </r>
  <r>
    <d v="2023-06-01T00:00:00"/>
    <x v="2"/>
    <n v="2450"/>
    <n v="385.71428571428601"/>
    <n v="285.71428571428572"/>
    <n v="290"/>
    <n v="0.99"/>
    <n v="0.97"/>
    <n v="0.73"/>
    <x v="0"/>
    <x v="4"/>
    <n v="2"/>
    <x v="7"/>
    <x v="0"/>
  </r>
  <r>
    <d v="2023-03-01T00:00:00"/>
    <x v="1"/>
    <n v="2500"/>
    <n v="385.71428571428601"/>
    <n v="285.71428571428572"/>
    <n v="310"/>
    <n v="0.77"/>
    <n v="0.72"/>
    <n v="0.85"/>
    <x v="1"/>
    <x v="0"/>
    <n v="7"/>
    <x v="4"/>
    <x v="1"/>
  </r>
  <r>
    <d v="2023-11-27T00:00:00"/>
    <x v="3"/>
    <n v="2450"/>
    <n v="385.71428571428601"/>
    <n v="285.71428571428572"/>
    <n v="270"/>
    <n v="0.77"/>
    <n v="0.96"/>
    <n v="0.78"/>
    <x v="2"/>
    <x v="1"/>
    <n v="9"/>
    <x v="3"/>
    <x v="2"/>
  </r>
  <r>
    <d v="2023-10-14T00:00:00"/>
    <x v="2"/>
    <n v="2400"/>
    <n v="385.71428571428601"/>
    <n v="285.71428571428572"/>
    <n v="285"/>
    <n v="0.78"/>
    <n v="0.8"/>
    <n v="0.85"/>
    <x v="3"/>
    <x v="2"/>
    <n v="5"/>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2CE271-609C-4091-8557-91BBAED9D996}"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J8" firstHeaderRow="0" firstDataRow="1" firstDataCol="1"/>
  <pivotFields count="14">
    <pivotField numFmtId="14"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dataField="1" numFmtId="164" showAll="0"/>
    <pivotField dataField="1" numFmtId="164" showAll="0"/>
    <pivotField numFmtId="164" showAll="0"/>
    <pivotField showAll="0"/>
    <pivotField showAll="0"/>
    <pivotField showAll="0"/>
    <pivotField showAll="0"/>
    <pivotField showAll="0"/>
    <pivotField showAll="0"/>
    <pivotField showAll="0"/>
    <pivotField showAll="0">
      <items count="13">
        <item x="11"/>
        <item x="1"/>
        <item x="4"/>
        <item x="5"/>
        <item x="0"/>
        <item x="7"/>
        <item x="8"/>
        <item x="6"/>
        <item x="9"/>
        <item x="2"/>
        <item x="3"/>
        <item x="10"/>
        <item t="default"/>
      </items>
    </pivotField>
    <pivotField showAll="0"/>
  </pivotFields>
  <rowFields count="1">
    <field x="1"/>
  </rowFields>
  <rowItems count="5">
    <i>
      <x v="3"/>
    </i>
    <i>
      <x v="1"/>
    </i>
    <i>
      <x/>
    </i>
    <i>
      <x v="2"/>
    </i>
    <i t="grand">
      <x/>
    </i>
  </rowItems>
  <colFields count="1">
    <field x="-2"/>
  </colFields>
  <colItems count="2">
    <i>
      <x/>
    </i>
    <i i="1">
      <x v="1"/>
    </i>
  </colItems>
  <dataFields count="2">
    <dataField name="Sum of Profit" fld="3" baseField="0" baseItem="0" numFmtId="164"/>
    <dataField name="Sum of Sales" fld="2" baseField="0" baseItem="0" numFmtId="164"/>
  </dataFields>
  <formats count="2">
    <format dxfId="30">
      <pivotArea collapsedLevelsAreSubtotals="1" fieldPosition="0">
        <references count="1">
          <reference field="1" count="0"/>
        </references>
      </pivotArea>
    </format>
    <format dxfId="31">
      <pivotArea grandRow="1"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912867-A36A-4FC9-B24E-ED7134F67A1F}" name="PivotTable6" cacheId="1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U1:W18" firstHeaderRow="1" firstDataRow="1" firstDataCol="0"/>
  <pivotFields count="14">
    <pivotField numFmtId="14" showAll="0"/>
    <pivotField showAll="0">
      <items count="5">
        <item x="0"/>
        <item x="3"/>
        <item x="2"/>
        <item x="1"/>
        <item t="default"/>
      </items>
    </pivotField>
    <pivotField numFmtId="164" showAll="0"/>
    <pivotField numFmtId="164" showAll="0"/>
    <pivotField numFmtId="164" showAll="0"/>
    <pivotField showAll="0"/>
    <pivotField showAll="0"/>
    <pivotField showAll="0"/>
    <pivotField showAll="0"/>
    <pivotField showAll="0"/>
    <pivotField showAll="0"/>
    <pivotField showAll="0"/>
    <pivotField showAll="0">
      <items count="13">
        <item x="11"/>
        <item x="1"/>
        <item x="4"/>
        <item x="5"/>
        <item x="0"/>
        <item x="7"/>
        <item x="8"/>
        <item x="6"/>
        <item x="9"/>
        <item x="2"/>
        <item x="3"/>
        <item x="10"/>
        <item t="default"/>
      </items>
    </pivotField>
    <pivotField showAll="0"/>
  </pivotFields>
  <formats count="1">
    <format dxfId="2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FB641C-3E76-4A6B-B102-6E2781C33B5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16" firstHeaderRow="1" firstDataRow="1" firstDataCol="1"/>
  <pivotFields count="14">
    <pivotField numFmtId="14" showAll="0"/>
    <pivotField showAll="0"/>
    <pivotField numFmtId="164" showAll="0"/>
    <pivotField numFmtId="164" showAll="0"/>
    <pivotField numFmtId="164" showAll="0"/>
    <pivotField dataField="1" showAll="0"/>
    <pivotField showAll="0"/>
    <pivotField showAll="0"/>
    <pivotField showAll="0"/>
    <pivotField showAll="0"/>
    <pivotField showAll="0"/>
    <pivotField showAll="0"/>
    <pivotField axis="axisRow" showAll="0">
      <items count="13">
        <item x="11"/>
        <item x="1"/>
        <item x="4"/>
        <item x="5"/>
        <item x="0"/>
        <item x="7"/>
        <item x="8"/>
        <item x="6"/>
        <item x="9"/>
        <item x="2"/>
        <item x="3"/>
        <item x="10"/>
        <item t="default"/>
      </items>
    </pivotField>
    <pivotField showAll="0">
      <items count="5">
        <item x="1"/>
        <item x="0"/>
        <item x="3"/>
        <item x="2"/>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No of Customers" fld="5" baseField="0" baseItem="0"/>
  </dataFields>
  <formats count="1">
    <format dxfId="24">
      <pivotArea collapsedLevelsAreSubtotals="1" fieldPosition="0">
        <references count="1">
          <reference field="12" count="0"/>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F2AFDD-B08C-446A-924B-506A007FA9A0}" name="PivotTable10" cacheId="1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R3:S6" firstHeaderRow="1" firstDataRow="1" firstDataCol="1"/>
  <pivotFields count="14">
    <pivotField numFmtId="14" showAll="0"/>
    <pivotField showAll="0"/>
    <pivotField numFmtId="164" showAll="0"/>
    <pivotField numFmtId="164" showAll="0"/>
    <pivotField numFmtId="164" showAll="0"/>
    <pivotField showAll="0"/>
    <pivotField dataField="1" showAll="0"/>
    <pivotField dataField="1" showAll="0"/>
    <pivotField dataField="1" showAll="0"/>
    <pivotField showAll="0"/>
    <pivotField showAll="0"/>
    <pivotField showAll="0"/>
    <pivotField showAll="0">
      <items count="13">
        <item x="11"/>
        <item x="1"/>
        <item x="4"/>
        <item x="5"/>
        <item x="0"/>
        <item x="7"/>
        <item x="8"/>
        <item x="6"/>
        <item x="9"/>
        <item x="2"/>
        <item x="3"/>
        <item x="10"/>
        <item t="default"/>
      </items>
    </pivotField>
    <pivotField showAll="0"/>
  </pivotFields>
  <rowFields count="1">
    <field x="-2"/>
  </rowFields>
  <rowItems count="3">
    <i>
      <x/>
    </i>
    <i i="1">
      <x v="1"/>
    </i>
    <i i="2">
      <x v="2"/>
    </i>
  </rowItems>
  <colItems count="1">
    <i/>
  </colItems>
  <dataFields count="3">
    <dataField name="Average of Sales Completion Rate" fld="6" subtotal="average" baseField="0" baseItem="1"/>
    <dataField name="Average of Profit Completion Rate" fld="7" subtotal="average" baseField="0" baseItem="1"/>
    <dataField name="Average of Customer Completion Rate" fld="8" subtotal="average" baseField="0" baseItem="1"/>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F2F1FB-7C3C-40A7-9347-F9352E7D2968}"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3:P9" firstHeaderRow="1" firstDataRow="1" firstDataCol="1"/>
  <pivotFields count="14">
    <pivotField numFmtId="14" showAll="0"/>
    <pivotField showAll="0">
      <items count="5">
        <item x="0"/>
        <item x="3"/>
        <item x="2"/>
        <item x="1"/>
        <item t="default"/>
      </items>
    </pivotField>
    <pivotField dataField="1" numFmtId="164" showAll="0"/>
    <pivotField numFmtId="164" showAll="0"/>
    <pivotField numFmtId="164" showAll="0"/>
    <pivotField showAll="0"/>
    <pivotField showAll="0"/>
    <pivotField showAll="0"/>
    <pivotField showAll="0"/>
    <pivotField axis="axisRow" showAll="0">
      <items count="6">
        <item x="0"/>
        <item x="2"/>
        <item x="1"/>
        <item x="3"/>
        <item x="4"/>
        <item t="default"/>
      </items>
    </pivotField>
    <pivotField showAll="0">
      <items count="6">
        <item x="4"/>
        <item x="2"/>
        <item x="1"/>
        <item x="3"/>
        <item x="0"/>
        <item t="default"/>
      </items>
    </pivotField>
    <pivotField showAll="0"/>
    <pivotField showAll="0">
      <items count="13">
        <item x="11"/>
        <item x="1"/>
        <item x="4"/>
        <item x="5"/>
        <item x="0"/>
        <item x="7"/>
        <item x="8"/>
        <item x="6"/>
        <item x="9"/>
        <item x="2"/>
        <item x="3"/>
        <item x="10"/>
        <item t="default"/>
      </items>
    </pivotField>
    <pivotField showAll="0"/>
  </pivotFields>
  <rowFields count="1">
    <field x="9"/>
  </rowFields>
  <rowItems count="6">
    <i>
      <x/>
    </i>
    <i>
      <x v="1"/>
    </i>
    <i>
      <x v="2"/>
    </i>
    <i>
      <x v="3"/>
    </i>
    <i>
      <x v="4"/>
    </i>
    <i t="grand">
      <x/>
    </i>
  </rowItems>
  <colItems count="1">
    <i/>
  </colItems>
  <dataFields count="1">
    <dataField name="Sum of Sales" fld="2" baseField="0" baseItem="0" numFmtId="165"/>
  </dataFields>
  <formats count="2">
    <format dxfId="26">
      <pivotArea grandRow="1" outline="0" collapsedLevelsAreSubtotals="1"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496DF5-6B72-4E3A-970E-1B9D05677152}"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3:M9" firstHeaderRow="1" firstDataRow="1" firstDataCol="1"/>
  <pivotFields count="14">
    <pivotField numFmtId="14" showAll="0"/>
    <pivotField showAll="0">
      <items count="5">
        <item x="0"/>
        <item x="3"/>
        <item x="2"/>
        <item x="1"/>
        <item t="default"/>
      </items>
    </pivotField>
    <pivotField numFmtId="164" showAll="0"/>
    <pivotField numFmtId="164" showAll="0"/>
    <pivotField numFmtId="164" showAll="0"/>
    <pivotField showAll="0"/>
    <pivotField showAll="0"/>
    <pivotField showAll="0"/>
    <pivotField showAll="0"/>
    <pivotField showAll="0"/>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dataField="1" showAll="0"/>
    <pivotField showAll="0">
      <items count="13">
        <item x="11"/>
        <item x="1"/>
        <item x="4"/>
        <item x="5"/>
        <item x="0"/>
        <item x="7"/>
        <item x="8"/>
        <item x="6"/>
        <item x="9"/>
        <item x="2"/>
        <item x="3"/>
        <item x="10"/>
        <item t="default"/>
      </items>
    </pivotField>
    <pivotField showAll="0"/>
  </pivotFields>
  <rowFields count="1">
    <field x="10"/>
  </rowFields>
  <rowItems count="6">
    <i>
      <x v="4"/>
    </i>
    <i>
      <x v="2"/>
    </i>
    <i>
      <x v="3"/>
    </i>
    <i>
      <x v="1"/>
    </i>
    <i>
      <x/>
    </i>
    <i t="grand">
      <x/>
    </i>
  </rowItems>
  <colItems count="1">
    <i/>
  </colItems>
  <dataFields count="1">
    <dataField name="Sum of Score" fld="11" baseField="0" baseItem="0" numFmtId="1"/>
  </dataFields>
  <formats count="2">
    <format dxfId="28">
      <pivotArea grandRow="1" outline="0" collapsedLevelsAreSubtotals="1"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0088B4-DD4B-4D15-B05F-6160A7309F0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16" firstHeaderRow="0" firstDataRow="1" firstDataCol="1"/>
  <pivotFields count="14">
    <pivotField numFmtId="14" showAll="0"/>
    <pivotField showAll="0"/>
    <pivotField dataField="1" numFmtId="164" showAll="0"/>
    <pivotField numFmtId="164" showAll="0"/>
    <pivotField dataField="1" numFmtId="164" showAll="0"/>
    <pivotField showAll="0"/>
    <pivotField showAll="0"/>
    <pivotField showAll="0"/>
    <pivotField showAll="0"/>
    <pivotField showAll="0"/>
    <pivotField showAll="0"/>
    <pivotField showAll="0"/>
    <pivotField axis="axisRow" showAll="0">
      <items count="13">
        <item x="11"/>
        <item x="1"/>
        <item x="4"/>
        <item x="5"/>
        <item x="0"/>
        <item x="7"/>
        <item x="8"/>
        <item x="6"/>
        <item x="9"/>
        <item x="2"/>
        <item x="3"/>
        <item x="10"/>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2" baseField="0" baseItem="0" numFmtId="164"/>
    <dataField name="Sum of Target Sales" fld="4" baseField="0" baseItem="0" numFmtId="164"/>
  </dataFields>
  <formats count="1">
    <format dxfId="33">
      <pivotArea collapsedLevelsAreSubtotals="1" fieldPosition="0">
        <references count="1">
          <reference field="12" count="0"/>
        </references>
      </pivotArea>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CA72F791-46E7-48B9-9DAE-7D7EAAEE75BA}" sourceName="Quarter">
  <pivotTables>
    <pivotTable tabId="2" name="PivotTable2"/>
  </pivotTables>
  <data>
    <tabular pivotCacheId="52692556">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6EB644-692D-4F13-AED6-727D8BF462AB}" sourceName="Month">
  <pivotTables>
    <pivotTable tabId="2" name="PivotTable1"/>
  </pivotTables>
  <data>
    <tabular pivotCacheId="52692556">
      <items count="12">
        <i x="11" s="1"/>
        <i x="1" s="1"/>
        <i x="4" s="1"/>
        <i x="5" s="1"/>
        <i x="0" s="1"/>
        <i x="7" s="1"/>
        <i x="8" s="1"/>
        <i x="6" s="1"/>
        <i x="9" s="1"/>
        <i x="2" s="1"/>
        <i x="3"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63C22B6B-02DC-4466-8717-979769A0E400}" cache="Slicer_Quarter" caption="Quarter" rowHeight="247650"/>
  <slicer name="Month" xr10:uid="{6DFE8297-ED41-44CE-9425-30CE90CF73EF}"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8CBE5F49-767A-4A9E-80BE-C263B745D92C}" cache="Slicer_Quarter" caption="Quarter" style="SlicerStyleDark1" rowHeight="360000"/>
  <slicer name="Month 1" xr10:uid="{07A777B5-7716-4F7B-A5C8-F34D1180681F}" cache="Slicer_Month" caption="Month" style="SlicerStyleDark1"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43B56-DACD-47F8-938D-C7C7122CBE89}" name="Table1" displayName="Table1" ref="A1:N64" totalsRowShown="0">
  <autoFilter ref="A1:N64" xr:uid="{B1143B56-DACD-47F8-938D-C7C7122CBE89}"/>
  <tableColumns count="14">
    <tableColumn id="1" xr3:uid="{CE58EB2D-1EA9-4ABC-A218-8CD1370ABEFE}" name="Date" dataDxfId="54"/>
    <tableColumn id="2" xr3:uid="{C0D322E2-B014-4C4F-B097-7D10AAE4DDFF}" name="Region"/>
    <tableColumn id="3" xr3:uid="{94E1EF9C-050A-469C-95A6-AF90BB79C4F2}" name="Sales" dataDxfId="53" dataCellStyle="Comma"/>
    <tableColumn id="4" xr3:uid="{A7F3CB4B-7041-4690-BB66-1D2333817AEB}" name="Profit" dataDxfId="52" dataCellStyle="Comma"/>
    <tableColumn id="5" xr3:uid="{915F9EB0-81D8-4381-9933-B993A381BE29}" name="Target Sales" dataDxfId="51" dataCellStyle="Comma"/>
    <tableColumn id="6" xr3:uid="{6FBF5D10-F25F-4CB0-98F4-D84F4C098FCB}" name="No of Customers"/>
    <tableColumn id="7" xr3:uid="{9405D8CA-E3E8-42A8-A0C1-D2C05F678FDF}" name="Sales Completion Rate"/>
    <tableColumn id="8" xr3:uid="{32DC830E-1CC9-4694-9AEF-9E3941810D49}" name="Profit Completion Rate"/>
    <tableColumn id="9" xr3:uid="{C817282C-C349-43CD-9B56-247C84839869}" name="Customer Completion Rate"/>
    <tableColumn id="10" xr3:uid="{F2F31733-85E4-4274-8D04-5CFE4A7CBDCA}" name="Country"/>
    <tableColumn id="11" xr3:uid="{34501071-3693-4586-B371-992493AAF8C6}" name="Customer Satisfaction"/>
    <tableColumn id="12" xr3:uid="{D18C31CC-4F34-4FFF-913B-CEF6AC279B52}" name="Score"/>
    <tableColumn id="13" xr3:uid="{FB2E60A3-D99E-4980-9955-3A408A1212FC}" name="Month" dataDxfId="50">
      <calculatedColumnFormula>TEXT(Table1[[#This Row],[Date]],"mmm")</calculatedColumnFormula>
    </tableColumn>
    <tableColumn id="14" xr3:uid="{B0100B40-937D-4B9D-A4A9-A881AAE894B0}" name="Quarter" dataDxfId="49">
      <calculatedColumnFormula>"Q"&amp;ROUNDUP(MONTH(Table1[[#This Row],[Date]])/3,0)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C3F76-59B9-4EAD-9A63-412C8D9B5F3D}">
  <dimension ref="A1:W20"/>
  <sheetViews>
    <sheetView showGridLines="0" topLeftCell="P1" zoomScale="101" zoomScaleNormal="52" workbookViewId="0">
      <selection activeCell="AD28" sqref="AD28"/>
    </sheetView>
  </sheetViews>
  <sheetFormatPr defaultRowHeight="14.4" x14ac:dyDescent="0.3"/>
  <cols>
    <col min="1" max="1" width="13" bestFit="1" customWidth="1"/>
    <col min="2" max="2" width="12" bestFit="1" customWidth="1"/>
    <col min="3" max="3" width="17.77734375" bestFit="1" customWidth="1"/>
    <col min="4" max="4" width="4" customWidth="1"/>
    <col min="5" max="5" width="13" bestFit="1" customWidth="1"/>
    <col min="6" max="6" width="21.88671875" bestFit="1" customWidth="1"/>
    <col min="7" max="7" width="5" customWidth="1"/>
    <col min="8" max="8" width="18.88671875" bestFit="1" customWidth="1"/>
    <col min="9" max="10" width="17.5546875" bestFit="1" customWidth="1"/>
    <col min="11" max="11" width="3.109375" customWidth="1"/>
    <col min="12" max="12" width="12.44140625" bestFit="1" customWidth="1"/>
    <col min="13" max="13" width="11.77734375" bestFit="1" customWidth="1"/>
    <col min="14" max="14" width="2.88671875" customWidth="1"/>
    <col min="15" max="15" width="12.44140625" bestFit="1" customWidth="1"/>
    <col min="16" max="16" width="11.5546875" bestFit="1" customWidth="1"/>
    <col min="18" max="18" width="31.6640625" bestFit="1" customWidth="1"/>
    <col min="19" max="19" width="13.88671875" bestFit="1" customWidth="1"/>
    <col min="20" max="20" width="7.6640625" customWidth="1"/>
    <col min="21" max="21" width="27" bestFit="1" customWidth="1"/>
    <col min="22" max="22" width="5" bestFit="1" customWidth="1"/>
  </cols>
  <sheetData>
    <row r="1" spans="1:23" x14ac:dyDescent="0.3">
      <c r="U1" s="14"/>
      <c r="V1" s="15"/>
      <c r="W1" s="16"/>
    </row>
    <row r="2" spans="1:23" x14ac:dyDescent="0.3">
      <c r="A2" s="23" t="s">
        <v>44</v>
      </c>
      <c r="B2" s="23"/>
      <c r="C2" s="23"/>
      <c r="E2" s="23" t="s">
        <v>45</v>
      </c>
      <c r="F2" s="23"/>
      <c r="G2" s="8"/>
      <c r="H2" s="23" t="s">
        <v>47</v>
      </c>
      <c r="I2" s="23"/>
      <c r="J2" s="23"/>
      <c r="L2" s="7" t="s">
        <v>49</v>
      </c>
      <c r="M2" s="7"/>
      <c r="N2" s="8"/>
      <c r="O2" s="23" t="s">
        <v>51</v>
      </c>
      <c r="P2" s="23"/>
      <c r="R2" s="23"/>
      <c r="S2" s="23"/>
      <c r="T2" s="23"/>
      <c r="U2" s="17"/>
      <c r="V2" s="18"/>
      <c r="W2" s="19"/>
    </row>
    <row r="3" spans="1:23" x14ac:dyDescent="0.3">
      <c r="A3" s="3" t="s">
        <v>28</v>
      </c>
      <c r="B3" t="s">
        <v>42</v>
      </c>
      <c r="C3" t="s">
        <v>43</v>
      </c>
      <c r="E3" s="3" t="s">
        <v>28</v>
      </c>
      <c r="F3" t="s">
        <v>46</v>
      </c>
      <c r="H3" s="3" t="s">
        <v>28</v>
      </c>
      <c r="I3" t="s">
        <v>48</v>
      </c>
      <c r="J3" t="s">
        <v>42</v>
      </c>
      <c r="L3" s="3" t="s">
        <v>28</v>
      </c>
      <c r="M3" t="s">
        <v>50</v>
      </c>
      <c r="O3" s="3" t="s">
        <v>28</v>
      </c>
      <c r="P3" t="s">
        <v>42</v>
      </c>
      <c r="R3" s="3" t="s">
        <v>55</v>
      </c>
      <c r="U3" s="17"/>
      <c r="V3" s="18"/>
      <c r="W3" s="19"/>
    </row>
    <row r="4" spans="1:23" x14ac:dyDescent="0.3">
      <c r="A4" s="4" t="s">
        <v>29</v>
      </c>
      <c r="B4" s="6">
        <v>12900</v>
      </c>
      <c r="C4" s="6">
        <v>6000.0000000000009</v>
      </c>
      <c r="E4" s="4" t="s">
        <v>29</v>
      </c>
      <c r="F4" s="24">
        <v>1435</v>
      </c>
      <c r="H4" s="4" t="s">
        <v>12</v>
      </c>
      <c r="I4" s="6">
        <v>45042.857142857159</v>
      </c>
      <c r="J4" s="6">
        <v>50045</v>
      </c>
      <c r="L4" s="4" t="s">
        <v>14</v>
      </c>
      <c r="M4" s="9">
        <v>96</v>
      </c>
      <c r="O4" s="4" t="s">
        <v>13</v>
      </c>
      <c r="P4" s="6">
        <v>30381</v>
      </c>
      <c r="R4" s="4" t="s">
        <v>52</v>
      </c>
      <c r="S4" s="10">
        <v>0.85555555555555574</v>
      </c>
      <c r="U4" s="17"/>
      <c r="V4" s="18"/>
      <c r="W4" s="19"/>
    </row>
    <row r="5" spans="1:23" x14ac:dyDescent="0.3">
      <c r="A5" s="4" t="s">
        <v>30</v>
      </c>
      <c r="B5" s="6">
        <v>11256</v>
      </c>
      <c r="C5" s="6">
        <v>24285.28571428571</v>
      </c>
      <c r="E5" s="4" t="s">
        <v>30</v>
      </c>
      <c r="F5" s="24">
        <v>185</v>
      </c>
      <c r="H5" s="4" t="s">
        <v>18</v>
      </c>
      <c r="I5" s="6">
        <v>29742.857142857156</v>
      </c>
      <c r="J5" s="6">
        <v>46112</v>
      </c>
      <c r="L5" s="4" t="s">
        <v>17</v>
      </c>
      <c r="M5" s="9">
        <v>74</v>
      </c>
      <c r="O5" s="4" t="s">
        <v>19</v>
      </c>
      <c r="P5" s="6">
        <v>63874</v>
      </c>
      <c r="R5" s="4" t="s">
        <v>53</v>
      </c>
      <c r="S5" s="10">
        <v>0.85492063492063519</v>
      </c>
      <c r="U5" s="17"/>
      <c r="V5" s="18"/>
      <c r="W5" s="19"/>
    </row>
    <row r="6" spans="1:23" x14ac:dyDescent="0.3">
      <c r="A6" s="4" t="s">
        <v>31</v>
      </c>
      <c r="B6" s="6">
        <v>11700</v>
      </c>
      <c r="C6" s="6">
        <v>9714.2857142857156</v>
      </c>
      <c r="E6" s="4" t="s">
        <v>31</v>
      </c>
      <c r="F6" s="24">
        <v>688</v>
      </c>
      <c r="H6" s="4" t="s">
        <v>15</v>
      </c>
      <c r="I6" s="6">
        <v>25300.857142857149</v>
      </c>
      <c r="J6" s="6">
        <v>38283</v>
      </c>
      <c r="L6" s="4" t="s">
        <v>23</v>
      </c>
      <c r="M6" s="9">
        <v>66</v>
      </c>
      <c r="O6" s="4" t="s">
        <v>16</v>
      </c>
      <c r="P6" s="6">
        <v>25744</v>
      </c>
      <c r="R6" s="4" t="s">
        <v>54</v>
      </c>
      <c r="S6" s="10">
        <v>0.8447619047619046</v>
      </c>
      <c r="U6" s="17"/>
      <c r="V6" s="18"/>
      <c r="W6" s="19"/>
    </row>
    <row r="7" spans="1:23" x14ac:dyDescent="0.3">
      <c r="A7" s="4" t="s">
        <v>32</v>
      </c>
      <c r="B7" s="6">
        <v>10400</v>
      </c>
      <c r="C7" s="6">
        <v>13571.428571428569</v>
      </c>
      <c r="E7" s="4" t="s">
        <v>32</v>
      </c>
      <c r="F7" s="24">
        <v>810</v>
      </c>
      <c r="H7" s="4" t="s">
        <v>24</v>
      </c>
      <c r="I7" s="6">
        <v>13214.285714285725</v>
      </c>
      <c r="J7" s="6">
        <v>22921</v>
      </c>
      <c r="L7" s="4" t="s">
        <v>20</v>
      </c>
      <c r="M7" s="9">
        <v>59</v>
      </c>
      <c r="O7" s="4" t="s">
        <v>21</v>
      </c>
      <c r="P7" s="6">
        <v>23719</v>
      </c>
      <c r="U7" s="17"/>
      <c r="V7" s="18"/>
      <c r="W7" s="19"/>
    </row>
    <row r="8" spans="1:23" x14ac:dyDescent="0.3">
      <c r="A8" s="4" t="s">
        <v>33</v>
      </c>
      <c r="B8" s="6">
        <v>12995</v>
      </c>
      <c r="C8" s="6">
        <v>12571.285714285716</v>
      </c>
      <c r="E8" s="4" t="s">
        <v>33</v>
      </c>
      <c r="F8" s="24">
        <v>850</v>
      </c>
      <c r="H8" s="4" t="s">
        <v>41</v>
      </c>
      <c r="I8" s="6">
        <v>113300.85714285719</v>
      </c>
      <c r="J8" s="6">
        <v>157361</v>
      </c>
      <c r="L8" s="4" t="s">
        <v>25</v>
      </c>
      <c r="M8" s="9">
        <v>41</v>
      </c>
      <c r="O8" s="4" t="s">
        <v>22</v>
      </c>
      <c r="P8" s="6">
        <v>13643</v>
      </c>
      <c r="R8" s="4" t="s">
        <v>52</v>
      </c>
      <c r="S8" s="11">
        <f>GETPIVOTDATA("Average of Sales Completion Rate",$R$3)</f>
        <v>0.85555555555555574</v>
      </c>
      <c r="U8" s="17"/>
      <c r="V8" s="18"/>
      <c r="W8" s="19"/>
    </row>
    <row r="9" spans="1:23" x14ac:dyDescent="0.3">
      <c r="A9" s="4" t="s">
        <v>34</v>
      </c>
      <c r="B9" s="6">
        <v>13450</v>
      </c>
      <c r="C9" s="6">
        <v>12999.999999999998</v>
      </c>
      <c r="E9" s="4" t="s">
        <v>34</v>
      </c>
      <c r="F9" s="24">
        <v>991</v>
      </c>
      <c r="L9" s="4" t="s">
        <v>41</v>
      </c>
      <c r="M9" s="9">
        <v>336</v>
      </c>
      <c r="O9" s="4" t="s">
        <v>41</v>
      </c>
      <c r="P9" s="6">
        <v>157361</v>
      </c>
      <c r="R9" s="4" t="s">
        <v>56</v>
      </c>
      <c r="S9" s="11">
        <f>1-S8</f>
        <v>0.14444444444444426</v>
      </c>
      <c r="U9" s="17"/>
      <c r="V9" s="18"/>
      <c r="W9" s="19"/>
    </row>
    <row r="10" spans="1:23" x14ac:dyDescent="0.3">
      <c r="A10" s="4" t="s">
        <v>35</v>
      </c>
      <c r="B10" s="6">
        <v>11000</v>
      </c>
      <c r="C10" s="6">
        <v>20142.85714285713</v>
      </c>
      <c r="E10" s="4" t="s">
        <v>35</v>
      </c>
      <c r="F10" s="24">
        <v>300</v>
      </c>
      <c r="M10" s="9"/>
      <c r="R10" s="4" t="s">
        <v>53</v>
      </c>
      <c r="S10" s="11">
        <f>GETPIVOTDATA("Average of Profit Completion Rate",$R$3)</f>
        <v>0.85492063492063519</v>
      </c>
      <c r="U10" s="17"/>
      <c r="V10" s="18"/>
      <c r="W10" s="19"/>
    </row>
    <row r="11" spans="1:23" x14ac:dyDescent="0.3">
      <c r="A11" s="4" t="s">
        <v>36</v>
      </c>
      <c r="B11" s="6">
        <v>17050</v>
      </c>
      <c r="C11" s="6">
        <v>3428.5714285714316</v>
      </c>
      <c r="E11" s="4" t="s">
        <v>36</v>
      </c>
      <c r="F11" s="24">
        <v>646</v>
      </c>
      <c r="R11" s="4" t="s">
        <v>56</v>
      </c>
      <c r="S11" s="11">
        <f>1-S10</f>
        <v>0.14507936507936481</v>
      </c>
      <c r="U11" s="17"/>
      <c r="V11" s="18"/>
      <c r="W11" s="19"/>
    </row>
    <row r="12" spans="1:23" x14ac:dyDescent="0.3">
      <c r="A12" s="4" t="s">
        <v>37</v>
      </c>
      <c r="B12" s="6">
        <v>3600</v>
      </c>
      <c r="C12" s="6">
        <v>9571.428571428567</v>
      </c>
      <c r="E12" s="4" t="s">
        <v>37</v>
      </c>
      <c r="F12" s="24">
        <v>190</v>
      </c>
      <c r="R12" s="4" t="s">
        <v>54</v>
      </c>
      <c r="S12" s="11">
        <f>GETPIVOTDATA("Average of Customer Completion Rate",$R$3)</f>
        <v>0.8447619047619046</v>
      </c>
      <c r="U12" s="17"/>
      <c r="V12" s="18"/>
      <c r="W12" s="19"/>
    </row>
    <row r="13" spans="1:23" x14ac:dyDescent="0.3">
      <c r="A13" s="4" t="s">
        <v>38</v>
      </c>
      <c r="B13" s="6">
        <v>26729</v>
      </c>
      <c r="C13" s="6">
        <v>30142.428571428576</v>
      </c>
      <c r="E13" s="4" t="s">
        <v>38</v>
      </c>
      <c r="F13" s="24">
        <v>1450</v>
      </c>
      <c r="L13" t="s">
        <v>28</v>
      </c>
      <c r="M13" t="s">
        <v>50</v>
      </c>
      <c r="O13" t="s">
        <v>28</v>
      </c>
      <c r="P13" t="s">
        <v>42</v>
      </c>
      <c r="R13" s="4" t="s">
        <v>56</v>
      </c>
      <c r="S13" s="11">
        <f>1-S12</f>
        <v>0.1552380952380954</v>
      </c>
      <c r="U13" s="17"/>
      <c r="V13" s="18"/>
      <c r="W13" s="19"/>
    </row>
    <row r="14" spans="1:23" x14ac:dyDescent="0.3">
      <c r="A14" s="4" t="s">
        <v>39</v>
      </c>
      <c r="B14" s="6">
        <v>22481</v>
      </c>
      <c r="C14" s="6">
        <v>20857.142857142862</v>
      </c>
      <c r="E14" s="4" t="s">
        <v>39</v>
      </c>
      <c r="F14" s="24">
        <v>1497</v>
      </c>
      <c r="L14" t="str">
        <f>L4</f>
        <v>Speed</v>
      </c>
      <c r="M14">
        <f>GETPIVOTDATA("Score",$L$3,"Customer Satisfaction",L14)</f>
        <v>96</v>
      </c>
      <c r="O14" t="str">
        <f>O4</f>
        <v>Argentina</v>
      </c>
      <c r="P14" s="6">
        <f>GETPIVOTDATA("Sales",$O$3,"Country",O14)</f>
        <v>30381</v>
      </c>
      <c r="R14" s="4"/>
      <c r="S14" s="10"/>
      <c r="U14" s="17"/>
      <c r="V14" s="18"/>
      <c r="W14" s="19"/>
    </row>
    <row r="15" spans="1:23" x14ac:dyDescent="0.3">
      <c r="A15" s="4" t="s">
        <v>40</v>
      </c>
      <c r="B15" s="6">
        <v>3800</v>
      </c>
      <c r="C15" s="6">
        <v>3714.2857142857147</v>
      </c>
      <c r="E15" s="4" t="s">
        <v>40</v>
      </c>
      <c r="F15" s="24">
        <v>318</v>
      </c>
      <c r="L15" t="str">
        <f>L5</f>
        <v>Quality</v>
      </c>
      <c r="M15">
        <f>GETPIVOTDATA("Score",$L$3,"Customer Satisfaction",L15)</f>
        <v>74</v>
      </c>
      <c r="O15" t="str">
        <f>O5</f>
        <v>Brazil</v>
      </c>
      <c r="P15" s="6">
        <f>GETPIVOTDATA("Sales",$O$3,"Country",O15)</f>
        <v>63874</v>
      </c>
      <c r="U15" s="17"/>
      <c r="V15" s="18"/>
      <c r="W15" s="19"/>
    </row>
    <row r="16" spans="1:23" x14ac:dyDescent="0.3">
      <c r="A16" s="4" t="s">
        <v>41</v>
      </c>
      <c r="B16" s="5">
        <v>157361</v>
      </c>
      <c r="C16" s="5">
        <v>166999</v>
      </c>
      <c r="E16" s="4" t="s">
        <v>41</v>
      </c>
      <c r="F16" s="24">
        <v>9360</v>
      </c>
      <c r="L16" t="str">
        <f>L6</f>
        <v>Service</v>
      </c>
      <c r="M16">
        <f>GETPIVOTDATA("Score",$L$3,"Customer Satisfaction",L16)</f>
        <v>66</v>
      </c>
      <c r="O16" t="str">
        <f>O6</f>
        <v>Colombia</v>
      </c>
      <c r="P16" s="6">
        <f>GETPIVOTDATA("Sales",$O$3,"Country",O16)</f>
        <v>25744</v>
      </c>
      <c r="R16" s="4" t="s">
        <v>57</v>
      </c>
      <c r="S16" t="s">
        <v>59</v>
      </c>
      <c r="U16" s="17"/>
      <c r="V16" s="18"/>
      <c r="W16" s="19"/>
    </row>
    <row r="17" spans="12:23" x14ac:dyDescent="0.3">
      <c r="L17" t="str">
        <f>L7</f>
        <v>Hygiene</v>
      </c>
      <c r="M17">
        <f>GETPIVOTDATA("Score",$L$3,"Customer Satisfaction",L17)</f>
        <v>59</v>
      </c>
      <c r="O17" t="str">
        <f>O7</f>
        <v>Ecuador</v>
      </c>
      <c r="P17" s="6">
        <f>GETPIVOTDATA("Sales",$O$3,"Country",O17)</f>
        <v>23719</v>
      </c>
      <c r="R17" s="4" t="s">
        <v>58</v>
      </c>
      <c r="S17" s="12">
        <f>GETPIVOTDATA("Sum of Sales",$A$3)</f>
        <v>157361</v>
      </c>
      <c r="U17" s="17"/>
      <c r="V17" s="18"/>
      <c r="W17" s="19"/>
    </row>
    <row r="18" spans="12:23" x14ac:dyDescent="0.3">
      <c r="L18" t="str">
        <f>L8</f>
        <v>Availability</v>
      </c>
      <c r="M18">
        <f>GETPIVOTDATA("Score",$L$3,"Customer Satisfaction",L18)</f>
        <v>41</v>
      </c>
      <c r="O18" t="str">
        <f>O8</f>
        <v>Peru</v>
      </c>
      <c r="P18" s="6">
        <f>GETPIVOTDATA("Sales",$O$3,"Country",O18)</f>
        <v>13643</v>
      </c>
      <c r="R18" s="4" t="s">
        <v>3</v>
      </c>
      <c r="S18" s="12">
        <f>GETPIVOTDATA("Sum of Profit",$H$3)</f>
        <v>113300.85714285719</v>
      </c>
      <c r="U18" s="20"/>
      <c r="V18" s="21"/>
      <c r="W18" s="22"/>
    </row>
    <row r="19" spans="12:23" x14ac:dyDescent="0.3">
      <c r="R19" s="4" t="s">
        <v>5</v>
      </c>
      <c r="S19">
        <f>GETPIVOTDATA("No of Customers",$E$3)</f>
        <v>9360</v>
      </c>
    </row>
    <row r="20" spans="12:23" x14ac:dyDescent="0.3">
      <c r="R20" s="4" t="s">
        <v>4</v>
      </c>
      <c r="S20" s="12">
        <f>GETPIVOTDATA("Sum of Target Sales",$A$3)</f>
        <v>166999</v>
      </c>
    </row>
  </sheetData>
  <mergeCells count="5">
    <mergeCell ref="O2:P2"/>
    <mergeCell ref="R2:T2"/>
    <mergeCell ref="A2:C2"/>
    <mergeCell ref="E2:F2"/>
    <mergeCell ref="H2:J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93E8F-05E0-440E-93BC-0DCDC1C58486}">
  <dimension ref="A1:AB10"/>
  <sheetViews>
    <sheetView showGridLines="0" tabSelected="1" topLeftCell="A7" zoomScale="73" zoomScaleNormal="73" workbookViewId="0">
      <selection activeCell="AE22" sqref="AE22"/>
    </sheetView>
  </sheetViews>
  <sheetFormatPr defaultRowHeight="14.4" x14ac:dyDescent="0.3"/>
  <sheetData>
    <row r="1" spans="1:28" x14ac:dyDescent="0.3">
      <c r="A1" s="13"/>
    </row>
    <row r="10" spans="1:28" x14ac:dyDescent="0.3">
      <c r="AB10"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0EBB-4236-4385-B112-7436EAEB5F65}">
  <dimension ref="A1:N64"/>
  <sheetViews>
    <sheetView showGridLines="0" topLeftCell="I1" workbookViewId="0"/>
  </sheetViews>
  <sheetFormatPr defaultRowHeight="14.4" x14ac:dyDescent="0.3"/>
  <cols>
    <col min="1" max="1" width="10.109375" style="1" bestFit="1" customWidth="1"/>
    <col min="3" max="4" width="8.88671875" style="2"/>
    <col min="5" max="5" width="12.5546875" style="2" customWidth="1"/>
    <col min="6" max="6" width="16.21875" customWidth="1"/>
    <col min="7" max="8" width="20.77734375" customWidth="1"/>
    <col min="9" max="9" width="24.33203125" customWidth="1"/>
    <col min="10" max="10" width="9.109375" customWidth="1"/>
    <col min="11" max="11" width="20.5546875" customWidth="1"/>
  </cols>
  <sheetData>
    <row r="1" spans="1:14" x14ac:dyDescent="0.3">
      <c r="A1" s="1" t="s">
        <v>0</v>
      </c>
      <c r="B1" t="s">
        <v>1</v>
      </c>
      <c r="C1" s="2" t="s">
        <v>2</v>
      </c>
      <c r="D1" s="2" t="s">
        <v>3</v>
      </c>
      <c r="E1" s="2" t="s">
        <v>4</v>
      </c>
      <c r="F1" t="s">
        <v>5</v>
      </c>
      <c r="G1" t="s">
        <v>6</v>
      </c>
      <c r="H1" t="s">
        <v>7</v>
      </c>
      <c r="I1" t="s">
        <v>8</v>
      </c>
      <c r="J1" t="s">
        <v>9</v>
      </c>
      <c r="K1" t="s">
        <v>10</v>
      </c>
      <c r="L1" t="s">
        <v>11</v>
      </c>
      <c r="M1" t="s">
        <v>26</v>
      </c>
      <c r="N1" t="s">
        <v>27</v>
      </c>
    </row>
    <row r="2" spans="1:14" x14ac:dyDescent="0.3">
      <c r="A2" s="1">
        <v>45060</v>
      </c>
      <c r="B2" t="s">
        <v>12</v>
      </c>
      <c r="C2" s="2">
        <v>2581</v>
      </c>
      <c r="D2" s="2">
        <v>2957.1428571428601</v>
      </c>
      <c r="E2" s="2">
        <v>5857</v>
      </c>
      <c r="F2">
        <v>80</v>
      </c>
      <c r="G2">
        <v>0.89</v>
      </c>
      <c r="H2">
        <v>0.85</v>
      </c>
      <c r="I2">
        <v>0.72</v>
      </c>
      <c r="J2" t="s">
        <v>13</v>
      </c>
      <c r="K2" t="s">
        <v>14</v>
      </c>
      <c r="L2">
        <v>8</v>
      </c>
      <c r="M2" t="str">
        <f>TEXT(Table1[[#This Row],[Date]],"mmm")</f>
        <v>May</v>
      </c>
      <c r="N2" t="str">
        <f>"Q"&amp;ROUNDUP(MONTH(Table1[[#This Row],[Date]])/3,0)</f>
        <v>Q2</v>
      </c>
    </row>
    <row r="3" spans="1:14" x14ac:dyDescent="0.3">
      <c r="A3" s="1">
        <v>44983</v>
      </c>
      <c r="B3" t="s">
        <v>15</v>
      </c>
      <c r="C3" s="2">
        <v>3944</v>
      </c>
      <c r="D3" s="2">
        <v>2957.1428571428601</v>
      </c>
      <c r="E3" s="2">
        <v>5857</v>
      </c>
      <c r="F3">
        <v>30</v>
      </c>
      <c r="G3">
        <v>0.94</v>
      </c>
      <c r="H3">
        <v>0.95</v>
      </c>
      <c r="I3">
        <v>0.86</v>
      </c>
      <c r="J3" t="s">
        <v>16</v>
      </c>
      <c r="K3" t="s">
        <v>17</v>
      </c>
      <c r="L3">
        <v>4</v>
      </c>
      <c r="M3" t="str">
        <f>TEXT(Table1[[#This Row],[Date]],"mmm")</f>
        <v>Feb</v>
      </c>
      <c r="N3" t="str">
        <f>"Q"&amp;ROUNDUP(MONTH(Table1[[#This Row],[Date]])/3,0)</f>
        <v>Q1</v>
      </c>
    </row>
    <row r="4" spans="1:14" x14ac:dyDescent="0.3">
      <c r="A4" s="1">
        <v>44984</v>
      </c>
      <c r="B4" t="s">
        <v>18</v>
      </c>
      <c r="C4" s="2">
        <v>3293</v>
      </c>
      <c r="D4" s="2">
        <v>2957.1428571428601</v>
      </c>
      <c r="E4" s="2">
        <v>5857</v>
      </c>
      <c r="F4">
        <v>15</v>
      </c>
      <c r="G4">
        <v>0.82</v>
      </c>
      <c r="H4">
        <v>0.8</v>
      </c>
      <c r="I4">
        <v>0.76</v>
      </c>
      <c r="J4" t="s">
        <v>19</v>
      </c>
      <c r="K4" t="s">
        <v>20</v>
      </c>
      <c r="L4">
        <v>3</v>
      </c>
      <c r="M4" t="str">
        <f>TEXT(Table1[[#This Row],[Date]],"mmm")</f>
        <v>Feb</v>
      </c>
      <c r="N4" t="str">
        <f>"Q"&amp;ROUNDUP(MONTH(Table1[[#This Row],[Date]])/3,0)</f>
        <v>Q1</v>
      </c>
    </row>
    <row r="5" spans="1:14" x14ac:dyDescent="0.3">
      <c r="A5" s="1">
        <v>44985</v>
      </c>
      <c r="B5" t="s">
        <v>18</v>
      </c>
      <c r="C5" s="2">
        <v>2019</v>
      </c>
      <c r="D5" s="2">
        <v>2957.1428571428601</v>
      </c>
      <c r="E5" s="2">
        <v>5857</v>
      </c>
      <c r="F5">
        <v>40</v>
      </c>
      <c r="G5">
        <v>0.79</v>
      </c>
      <c r="H5">
        <v>0.79</v>
      </c>
      <c r="I5">
        <v>0.79</v>
      </c>
      <c r="J5" t="s">
        <v>21</v>
      </c>
      <c r="K5" t="s">
        <v>14</v>
      </c>
      <c r="L5">
        <v>2</v>
      </c>
      <c r="M5" t="str">
        <f>TEXT(Table1[[#This Row],[Date]],"mmm")</f>
        <v>Feb</v>
      </c>
      <c r="N5" t="str">
        <f>"Q"&amp;ROUNDUP(MONTH(Table1[[#This Row],[Date]])/3,0)</f>
        <v>Q1</v>
      </c>
    </row>
    <row r="6" spans="1:14" x14ac:dyDescent="0.3">
      <c r="A6" s="1">
        <v>45228</v>
      </c>
      <c r="B6" t="s">
        <v>15</v>
      </c>
      <c r="C6" s="2">
        <v>2980</v>
      </c>
      <c r="D6" s="2">
        <v>2958</v>
      </c>
      <c r="E6" s="2">
        <v>5857</v>
      </c>
      <c r="F6">
        <v>100</v>
      </c>
      <c r="G6">
        <v>0.96</v>
      </c>
      <c r="H6">
        <v>0.79</v>
      </c>
      <c r="I6">
        <v>0.7</v>
      </c>
      <c r="J6" t="s">
        <v>22</v>
      </c>
      <c r="K6" t="s">
        <v>23</v>
      </c>
      <c r="L6">
        <v>7</v>
      </c>
      <c r="M6" t="str">
        <f>TEXT(Table1[[#This Row],[Date]],"mmm")</f>
        <v>Oct</v>
      </c>
      <c r="N6" t="str">
        <f>"Q"&amp;ROUNDUP(MONTH(Table1[[#This Row],[Date]])/3,0)</f>
        <v>Q4</v>
      </c>
    </row>
    <row r="7" spans="1:14" x14ac:dyDescent="0.3">
      <c r="A7" s="1">
        <v>45229</v>
      </c>
      <c r="B7" t="s">
        <v>15</v>
      </c>
      <c r="C7" s="2">
        <v>2209</v>
      </c>
      <c r="D7" s="2">
        <v>2957.1428571428601</v>
      </c>
      <c r="E7" s="2">
        <v>5857</v>
      </c>
      <c r="F7">
        <v>15</v>
      </c>
      <c r="G7">
        <v>0.79</v>
      </c>
      <c r="H7">
        <v>0.79</v>
      </c>
      <c r="I7">
        <v>0.77</v>
      </c>
      <c r="J7" t="s">
        <v>22</v>
      </c>
      <c r="K7" t="s">
        <v>14</v>
      </c>
      <c r="L7">
        <v>9</v>
      </c>
      <c r="M7" t="str">
        <f>TEXT(Table1[[#This Row],[Date]],"mmm")</f>
        <v>Oct</v>
      </c>
      <c r="N7" t="str">
        <f>"Q"&amp;ROUNDUP(MONTH(Table1[[#This Row],[Date]])/3,0)</f>
        <v>Q4</v>
      </c>
    </row>
    <row r="8" spans="1:14" x14ac:dyDescent="0.3">
      <c r="A8" s="1">
        <v>45230</v>
      </c>
      <c r="B8" t="s">
        <v>24</v>
      </c>
      <c r="C8" s="2">
        <v>2440</v>
      </c>
      <c r="D8" s="2">
        <v>2957.1428571428601</v>
      </c>
      <c r="E8" s="2">
        <v>5857</v>
      </c>
      <c r="F8">
        <v>20</v>
      </c>
      <c r="G8">
        <v>0.75</v>
      </c>
      <c r="H8">
        <v>0.72</v>
      </c>
      <c r="I8">
        <v>0.93</v>
      </c>
      <c r="J8" t="s">
        <v>22</v>
      </c>
      <c r="K8" t="s">
        <v>17</v>
      </c>
      <c r="L8">
        <v>5</v>
      </c>
      <c r="M8" t="str">
        <f>TEXT(Table1[[#This Row],[Date]],"mmm")</f>
        <v>Oct</v>
      </c>
      <c r="N8" t="str">
        <f>"Q"&amp;ROUNDUP(MONTH(Table1[[#This Row],[Date]])/3,0)</f>
        <v>Q4</v>
      </c>
    </row>
    <row r="9" spans="1:14" x14ac:dyDescent="0.3">
      <c r="A9" s="1">
        <v>45231</v>
      </c>
      <c r="B9" t="s">
        <v>24</v>
      </c>
      <c r="C9" s="2">
        <v>2000</v>
      </c>
      <c r="D9" s="2">
        <v>1328.57142857143</v>
      </c>
      <c r="E9" s="2">
        <v>4428.5714285714303</v>
      </c>
      <c r="F9">
        <v>90</v>
      </c>
      <c r="G9">
        <v>0.92</v>
      </c>
      <c r="H9">
        <v>0.99</v>
      </c>
      <c r="I9">
        <v>0.74</v>
      </c>
      <c r="J9" t="s">
        <v>19</v>
      </c>
      <c r="K9" t="s">
        <v>17</v>
      </c>
      <c r="L9">
        <v>6</v>
      </c>
      <c r="M9" t="str">
        <f>TEXT(Table1[[#This Row],[Date]],"mmm")</f>
        <v>Nov</v>
      </c>
      <c r="N9" t="str">
        <f>"Q"&amp;ROUNDUP(MONTH(Table1[[#This Row],[Date]])/3,0)</f>
        <v>Q4</v>
      </c>
    </row>
    <row r="10" spans="1:14" x14ac:dyDescent="0.3">
      <c r="A10" s="1">
        <v>45232</v>
      </c>
      <c r="B10" t="s">
        <v>24</v>
      </c>
      <c r="C10" s="2">
        <v>1431</v>
      </c>
      <c r="D10" s="2">
        <v>1328.57142857143</v>
      </c>
      <c r="E10" s="2">
        <v>4428.5714285714303</v>
      </c>
      <c r="F10">
        <v>30</v>
      </c>
      <c r="G10">
        <v>0.7</v>
      </c>
      <c r="H10">
        <v>0.99</v>
      </c>
      <c r="I10">
        <v>0.95</v>
      </c>
      <c r="J10" t="s">
        <v>19</v>
      </c>
      <c r="K10" t="s">
        <v>23</v>
      </c>
      <c r="L10">
        <v>8</v>
      </c>
      <c r="M10" t="str">
        <f>TEXT(Table1[[#This Row],[Date]],"mmm")</f>
        <v>Nov</v>
      </c>
      <c r="N10" t="str">
        <f>"Q"&amp;ROUNDUP(MONTH(Table1[[#This Row],[Date]])/3,0)</f>
        <v>Q4</v>
      </c>
    </row>
    <row r="11" spans="1:14" x14ac:dyDescent="0.3">
      <c r="A11" s="1">
        <v>45233</v>
      </c>
      <c r="B11" t="s">
        <v>15</v>
      </c>
      <c r="C11" s="2">
        <v>3000</v>
      </c>
      <c r="D11" s="2">
        <v>1328.57142857143</v>
      </c>
      <c r="E11" s="2">
        <v>4428.5714285714303</v>
      </c>
      <c r="F11">
        <v>15</v>
      </c>
      <c r="G11">
        <v>0.91</v>
      </c>
      <c r="H11">
        <v>0.98</v>
      </c>
      <c r="I11">
        <v>0.89</v>
      </c>
      <c r="J11" t="s">
        <v>19</v>
      </c>
      <c r="K11" t="s">
        <v>23</v>
      </c>
      <c r="L11">
        <v>4</v>
      </c>
      <c r="M11" t="str">
        <f>TEXT(Table1[[#This Row],[Date]],"mmm")</f>
        <v>Nov</v>
      </c>
      <c r="N11" t="str">
        <f>"Q"&amp;ROUNDUP(MONTH(Table1[[#This Row],[Date]])/3,0)</f>
        <v>Q4</v>
      </c>
    </row>
    <row r="12" spans="1:14" x14ac:dyDescent="0.3">
      <c r="A12" s="1">
        <v>45060</v>
      </c>
      <c r="B12" t="s">
        <v>15</v>
      </c>
      <c r="C12" s="2">
        <v>4000</v>
      </c>
      <c r="D12" s="2">
        <v>1328.57142857143</v>
      </c>
      <c r="E12" s="2">
        <v>4428.5714285714303</v>
      </c>
      <c r="F12">
        <v>40</v>
      </c>
      <c r="G12">
        <v>0.74</v>
      </c>
      <c r="H12">
        <v>0.85</v>
      </c>
      <c r="I12">
        <v>0.7</v>
      </c>
      <c r="J12" t="s">
        <v>19</v>
      </c>
      <c r="K12" t="s">
        <v>14</v>
      </c>
      <c r="L12">
        <v>3</v>
      </c>
      <c r="M12" t="str">
        <f>TEXT(Table1[[#This Row],[Date]],"mmm")</f>
        <v>May</v>
      </c>
      <c r="N12" t="str">
        <f>"Q"&amp;ROUNDUP(MONTH(Table1[[#This Row],[Date]])/3,0)</f>
        <v>Q2</v>
      </c>
    </row>
    <row r="13" spans="1:14" x14ac:dyDescent="0.3">
      <c r="A13" s="1">
        <v>45225</v>
      </c>
      <c r="B13" t="s">
        <v>12</v>
      </c>
      <c r="C13" s="2">
        <v>1000</v>
      </c>
      <c r="D13" s="2">
        <v>1328.57142857143</v>
      </c>
      <c r="E13" s="2">
        <v>4428.5714285714303</v>
      </c>
      <c r="F13">
        <v>100</v>
      </c>
      <c r="G13">
        <v>0.9</v>
      </c>
      <c r="H13">
        <v>0.9</v>
      </c>
      <c r="I13">
        <v>0.72</v>
      </c>
      <c r="J13" t="s">
        <v>19</v>
      </c>
      <c r="K13" t="s">
        <v>17</v>
      </c>
      <c r="L13">
        <v>2</v>
      </c>
      <c r="M13" t="str">
        <f>TEXT(Table1[[#This Row],[Date]],"mmm")</f>
        <v>Oct</v>
      </c>
      <c r="N13" t="str">
        <f>"Q"&amp;ROUNDUP(MONTH(Table1[[#This Row],[Date]])/3,0)</f>
        <v>Q4</v>
      </c>
    </row>
    <row r="14" spans="1:14" x14ac:dyDescent="0.3">
      <c r="A14" s="1">
        <v>44995</v>
      </c>
      <c r="B14" t="s">
        <v>12</v>
      </c>
      <c r="C14" s="2">
        <v>2000</v>
      </c>
      <c r="D14" s="2">
        <v>1328.57142857143</v>
      </c>
      <c r="E14" s="2">
        <v>4428.5714285714303</v>
      </c>
      <c r="F14">
        <v>15</v>
      </c>
      <c r="G14">
        <v>0.95</v>
      </c>
      <c r="H14">
        <v>0.97</v>
      </c>
      <c r="I14">
        <v>0.81</v>
      </c>
      <c r="J14" t="s">
        <v>19</v>
      </c>
      <c r="K14" t="s">
        <v>20</v>
      </c>
      <c r="L14">
        <v>7</v>
      </c>
      <c r="M14" t="str">
        <f>TEXT(Table1[[#This Row],[Date]],"mmm")</f>
        <v>Mar</v>
      </c>
      <c r="N14" t="str">
        <f>"Q"&amp;ROUNDUP(MONTH(Table1[[#This Row],[Date]])/3,0)</f>
        <v>Q1</v>
      </c>
    </row>
    <row r="15" spans="1:14" x14ac:dyDescent="0.3">
      <c r="A15" s="1">
        <v>45044</v>
      </c>
      <c r="B15" t="s">
        <v>18</v>
      </c>
      <c r="C15" s="2">
        <v>2000</v>
      </c>
      <c r="D15" s="2">
        <v>1328.57142857143</v>
      </c>
      <c r="E15" s="2">
        <v>4428.5714285714303</v>
      </c>
      <c r="F15">
        <v>20</v>
      </c>
      <c r="G15">
        <v>0.99</v>
      </c>
      <c r="H15">
        <v>0.79</v>
      </c>
      <c r="I15">
        <v>0.75</v>
      </c>
      <c r="J15" t="s">
        <v>19</v>
      </c>
      <c r="K15" t="s">
        <v>23</v>
      </c>
      <c r="L15">
        <v>9</v>
      </c>
      <c r="M15" t="str">
        <f>TEXT(Table1[[#This Row],[Date]],"mmm")</f>
        <v>Apr</v>
      </c>
      <c r="N15" t="str">
        <f>"Q"&amp;ROUNDUP(MONTH(Table1[[#This Row],[Date]])/3,0)</f>
        <v>Q2</v>
      </c>
    </row>
    <row r="16" spans="1:14" x14ac:dyDescent="0.3">
      <c r="A16" s="1">
        <v>45218</v>
      </c>
      <c r="B16" t="s">
        <v>18</v>
      </c>
      <c r="C16" s="2">
        <v>4000</v>
      </c>
      <c r="D16" s="2">
        <v>1328.57142857143</v>
      </c>
      <c r="E16" s="2">
        <v>1428.57142857143</v>
      </c>
      <c r="F16">
        <v>45</v>
      </c>
      <c r="G16">
        <v>0.86</v>
      </c>
      <c r="H16">
        <v>0.97</v>
      </c>
      <c r="I16">
        <v>0.89</v>
      </c>
      <c r="J16" t="s">
        <v>13</v>
      </c>
      <c r="K16" t="s">
        <v>25</v>
      </c>
      <c r="L16">
        <v>5</v>
      </c>
      <c r="M16" t="str">
        <f>TEXT(Table1[[#This Row],[Date]],"mmm")</f>
        <v>Oct</v>
      </c>
      <c r="N16" t="str">
        <f>"Q"&amp;ROUNDUP(MONTH(Table1[[#This Row],[Date]])/3,0)</f>
        <v>Q4</v>
      </c>
    </row>
    <row r="17" spans="1:14" x14ac:dyDescent="0.3">
      <c r="A17" s="1">
        <v>45160</v>
      </c>
      <c r="B17" t="s">
        <v>12</v>
      </c>
      <c r="C17" s="2">
        <v>6000</v>
      </c>
      <c r="D17" s="2">
        <v>1328.57142857143</v>
      </c>
      <c r="E17" s="2">
        <v>1428.57142857143</v>
      </c>
      <c r="F17">
        <v>43</v>
      </c>
      <c r="G17">
        <v>0.83</v>
      </c>
      <c r="H17">
        <v>0.72</v>
      </c>
      <c r="I17">
        <v>0.74</v>
      </c>
      <c r="J17" t="s">
        <v>16</v>
      </c>
      <c r="K17" t="s">
        <v>14</v>
      </c>
      <c r="L17">
        <v>6</v>
      </c>
      <c r="M17" t="str">
        <f>TEXT(Table1[[#This Row],[Date]],"mmm")</f>
        <v>Aug</v>
      </c>
      <c r="N17" t="str">
        <f>"Q"&amp;ROUNDUP(MONTH(Table1[[#This Row],[Date]])/3,0)</f>
        <v>Q3</v>
      </c>
    </row>
    <row r="18" spans="1:14" x14ac:dyDescent="0.3">
      <c r="A18" s="1">
        <v>45147</v>
      </c>
      <c r="B18" t="s">
        <v>15</v>
      </c>
      <c r="C18" s="2">
        <v>6500</v>
      </c>
      <c r="D18" s="2">
        <v>1328.57142857143</v>
      </c>
      <c r="E18" s="2">
        <v>1428.57142857143</v>
      </c>
      <c r="F18">
        <v>43</v>
      </c>
      <c r="G18">
        <v>0.74</v>
      </c>
      <c r="H18">
        <v>0.78</v>
      </c>
      <c r="I18">
        <v>0.94</v>
      </c>
      <c r="J18" t="s">
        <v>19</v>
      </c>
      <c r="K18" t="s">
        <v>17</v>
      </c>
      <c r="L18">
        <v>8</v>
      </c>
      <c r="M18" t="str">
        <f>TEXT(Table1[[#This Row],[Date]],"mmm")</f>
        <v>Aug</v>
      </c>
      <c r="N18" t="str">
        <f>"Q"&amp;ROUNDUP(MONTH(Table1[[#This Row],[Date]])/3,0)</f>
        <v>Q3</v>
      </c>
    </row>
    <row r="19" spans="1:14" x14ac:dyDescent="0.3">
      <c r="A19" s="1">
        <v>45078</v>
      </c>
      <c r="B19" t="s">
        <v>24</v>
      </c>
      <c r="C19" s="2">
        <v>1200</v>
      </c>
      <c r="D19" s="2">
        <v>1328.57142857143</v>
      </c>
      <c r="E19" s="2">
        <v>1428.57142857143</v>
      </c>
      <c r="F19">
        <v>43</v>
      </c>
      <c r="G19">
        <v>0.8</v>
      </c>
      <c r="H19">
        <v>0.84</v>
      </c>
      <c r="I19">
        <v>0.81</v>
      </c>
      <c r="J19" t="s">
        <v>21</v>
      </c>
      <c r="K19" t="s">
        <v>17</v>
      </c>
      <c r="L19">
        <v>4</v>
      </c>
      <c r="M19" t="str">
        <f>TEXT(Table1[[#This Row],[Date]],"mmm")</f>
        <v>Jun</v>
      </c>
      <c r="N19" t="str">
        <f>"Q"&amp;ROUNDUP(MONTH(Table1[[#This Row],[Date]])/3,0)</f>
        <v>Q2</v>
      </c>
    </row>
    <row r="20" spans="1:14" x14ac:dyDescent="0.3">
      <c r="A20" s="1">
        <v>44986</v>
      </c>
      <c r="B20" t="s">
        <v>24</v>
      </c>
      <c r="C20" s="2">
        <v>3000</v>
      </c>
      <c r="D20" s="2">
        <v>1328.57142857143</v>
      </c>
      <c r="E20" s="2">
        <v>1428.5714285714287</v>
      </c>
      <c r="F20">
        <v>43</v>
      </c>
      <c r="G20">
        <v>0.89</v>
      </c>
      <c r="H20">
        <v>0.99</v>
      </c>
      <c r="I20">
        <v>0.97</v>
      </c>
      <c r="J20" t="s">
        <v>13</v>
      </c>
      <c r="K20" t="s">
        <v>14</v>
      </c>
      <c r="L20">
        <v>3</v>
      </c>
      <c r="M20" t="str">
        <f>TEXT(Table1[[#This Row],[Date]],"mmm")</f>
        <v>Mar</v>
      </c>
      <c r="N20" t="str">
        <f>"Q"&amp;ROUNDUP(MONTH(Table1[[#This Row],[Date]])/3,0)</f>
        <v>Q1</v>
      </c>
    </row>
    <row r="21" spans="1:14" x14ac:dyDescent="0.3">
      <c r="A21" s="1">
        <v>45257</v>
      </c>
      <c r="B21" t="s">
        <v>24</v>
      </c>
      <c r="C21" s="2">
        <v>2000</v>
      </c>
      <c r="D21" s="2">
        <v>1328.57142857143</v>
      </c>
      <c r="E21" s="2">
        <v>1428.5714285714287</v>
      </c>
      <c r="F21">
        <v>40</v>
      </c>
      <c r="G21">
        <v>0.71</v>
      </c>
      <c r="H21">
        <v>0.87</v>
      </c>
      <c r="I21">
        <v>0.94</v>
      </c>
      <c r="J21" t="s">
        <v>16</v>
      </c>
      <c r="K21" t="s">
        <v>25</v>
      </c>
      <c r="L21">
        <v>2</v>
      </c>
      <c r="M21" t="str">
        <f>TEXT(Table1[[#This Row],[Date]],"mmm")</f>
        <v>Nov</v>
      </c>
      <c r="N21" t="str">
        <f>"Q"&amp;ROUNDUP(MONTH(Table1[[#This Row],[Date]])/3,0)</f>
        <v>Q4</v>
      </c>
    </row>
    <row r="22" spans="1:14" x14ac:dyDescent="0.3">
      <c r="A22" s="1">
        <v>45213</v>
      </c>
      <c r="B22" t="s">
        <v>24</v>
      </c>
      <c r="C22" s="2">
        <v>2000</v>
      </c>
      <c r="D22" s="2">
        <v>1328.57142857143</v>
      </c>
      <c r="E22" s="2">
        <v>1428.5714285714287</v>
      </c>
      <c r="F22">
        <v>43</v>
      </c>
      <c r="G22">
        <v>0.9</v>
      </c>
      <c r="H22">
        <v>0.72</v>
      </c>
      <c r="I22">
        <v>0.94</v>
      </c>
      <c r="J22" t="s">
        <v>19</v>
      </c>
      <c r="K22" t="s">
        <v>14</v>
      </c>
      <c r="L22">
        <v>7</v>
      </c>
      <c r="M22" t="str">
        <f>TEXT(Table1[[#This Row],[Date]],"mmm")</f>
        <v>Oct</v>
      </c>
      <c r="N22" t="str">
        <f>"Q"&amp;ROUNDUP(MONTH(Table1[[#This Row],[Date]])/3,0)</f>
        <v>Q4</v>
      </c>
    </row>
    <row r="23" spans="1:14" x14ac:dyDescent="0.3">
      <c r="A23" s="1">
        <v>45098</v>
      </c>
      <c r="B23" t="s">
        <v>12</v>
      </c>
      <c r="C23" s="2">
        <v>3000</v>
      </c>
      <c r="D23" s="2">
        <v>5214.2857142857101</v>
      </c>
      <c r="E23" s="2">
        <v>6714.2857142857101</v>
      </c>
      <c r="F23">
        <v>100</v>
      </c>
      <c r="G23">
        <v>0.89</v>
      </c>
      <c r="H23">
        <v>0.85</v>
      </c>
      <c r="I23">
        <v>0.87</v>
      </c>
      <c r="J23" t="s">
        <v>21</v>
      </c>
      <c r="K23" t="s">
        <v>17</v>
      </c>
      <c r="L23">
        <v>9</v>
      </c>
      <c r="M23" t="str">
        <f>TEXT(Table1[[#This Row],[Date]],"mmm")</f>
        <v>Jun</v>
      </c>
      <c r="N23" t="str">
        <f>"Q"&amp;ROUNDUP(MONTH(Table1[[#This Row],[Date]])/3,0)</f>
        <v>Q2</v>
      </c>
    </row>
    <row r="24" spans="1:14" x14ac:dyDescent="0.3">
      <c r="A24" s="1">
        <v>45130</v>
      </c>
      <c r="B24" t="s">
        <v>18</v>
      </c>
      <c r="C24" s="2">
        <v>4500</v>
      </c>
      <c r="D24" s="2">
        <v>5214.2857142857101</v>
      </c>
      <c r="E24" s="2">
        <v>6714.2857142857101</v>
      </c>
      <c r="F24">
        <v>100</v>
      </c>
      <c r="G24">
        <v>0.89</v>
      </c>
      <c r="H24">
        <v>0.8</v>
      </c>
      <c r="I24">
        <v>0.88</v>
      </c>
      <c r="J24" t="s">
        <v>13</v>
      </c>
      <c r="K24" t="s">
        <v>20</v>
      </c>
      <c r="L24">
        <v>5</v>
      </c>
      <c r="M24" t="str">
        <f>TEXT(Table1[[#This Row],[Date]],"mmm")</f>
        <v>Jul</v>
      </c>
      <c r="N24" t="str">
        <f>"Q"&amp;ROUNDUP(MONTH(Table1[[#This Row],[Date]])/3,0)</f>
        <v>Q3</v>
      </c>
    </row>
    <row r="25" spans="1:14" x14ac:dyDescent="0.3">
      <c r="A25" s="1">
        <v>45127</v>
      </c>
      <c r="B25" t="s">
        <v>12</v>
      </c>
      <c r="C25" s="2">
        <v>5500</v>
      </c>
      <c r="D25" s="2">
        <v>1214.2857142857099</v>
      </c>
      <c r="E25" s="2">
        <v>6714.2857142857101</v>
      </c>
      <c r="F25">
        <v>100</v>
      </c>
      <c r="G25">
        <v>0.98</v>
      </c>
      <c r="H25">
        <v>0.99</v>
      </c>
      <c r="I25">
        <v>0.81</v>
      </c>
      <c r="J25" t="s">
        <v>19</v>
      </c>
      <c r="K25" t="s">
        <v>14</v>
      </c>
      <c r="L25">
        <v>6</v>
      </c>
      <c r="M25" t="str">
        <f>TEXT(Table1[[#This Row],[Date]],"mmm")</f>
        <v>Jul</v>
      </c>
      <c r="N25" t="str">
        <f>"Q"&amp;ROUNDUP(MONTH(Table1[[#This Row],[Date]])/3,0)</f>
        <v>Q3</v>
      </c>
    </row>
    <row r="26" spans="1:14" x14ac:dyDescent="0.3">
      <c r="A26" s="1">
        <v>45129</v>
      </c>
      <c r="B26" t="s">
        <v>15</v>
      </c>
      <c r="C26" s="2">
        <v>1000</v>
      </c>
      <c r="D26" s="2">
        <v>5214.2857142857101</v>
      </c>
      <c r="E26" s="2">
        <v>6714.2857142857101</v>
      </c>
      <c r="F26">
        <v>100</v>
      </c>
      <c r="G26">
        <v>0.81</v>
      </c>
      <c r="H26">
        <v>0.91</v>
      </c>
      <c r="I26">
        <v>0.95</v>
      </c>
      <c r="J26" t="s">
        <v>21</v>
      </c>
      <c r="K26" t="s">
        <v>25</v>
      </c>
      <c r="L26">
        <v>8</v>
      </c>
      <c r="M26" t="str">
        <f>TEXT(Table1[[#This Row],[Date]],"mmm")</f>
        <v>Jul</v>
      </c>
      <c r="N26" t="str">
        <f>"Q"&amp;ROUNDUP(MONTH(Table1[[#This Row],[Date]])/3,0)</f>
        <v>Q3</v>
      </c>
    </row>
    <row r="27" spans="1:14" x14ac:dyDescent="0.3">
      <c r="A27" s="1">
        <v>45018</v>
      </c>
      <c r="B27" t="s">
        <v>12</v>
      </c>
      <c r="C27" s="2">
        <v>2000</v>
      </c>
      <c r="D27" s="2">
        <v>5214.2857142857101</v>
      </c>
      <c r="E27" s="2">
        <v>6714.2857142857101</v>
      </c>
      <c r="F27">
        <v>100</v>
      </c>
      <c r="G27">
        <v>0.97</v>
      </c>
      <c r="H27">
        <v>0.85</v>
      </c>
      <c r="I27">
        <v>0.85</v>
      </c>
      <c r="J27" t="s">
        <v>13</v>
      </c>
      <c r="K27" t="s">
        <v>14</v>
      </c>
      <c r="L27">
        <v>4</v>
      </c>
      <c r="M27" t="str">
        <f>TEXT(Table1[[#This Row],[Date]],"mmm")</f>
        <v>Apr</v>
      </c>
      <c r="N27" t="str">
        <f>"Q"&amp;ROUNDUP(MONTH(Table1[[#This Row],[Date]])/3,0)</f>
        <v>Q2</v>
      </c>
    </row>
    <row r="28" spans="1:14" x14ac:dyDescent="0.3">
      <c r="A28" s="1">
        <v>44979</v>
      </c>
      <c r="B28" t="s">
        <v>12</v>
      </c>
      <c r="C28" s="2">
        <v>2000</v>
      </c>
      <c r="D28" s="2">
        <v>5214.2857142857101</v>
      </c>
      <c r="E28" s="2">
        <v>6714.2857142857101</v>
      </c>
      <c r="F28">
        <v>100</v>
      </c>
      <c r="G28">
        <v>0.89</v>
      </c>
      <c r="H28">
        <v>0.94</v>
      </c>
      <c r="I28">
        <v>0.8</v>
      </c>
      <c r="J28" t="s">
        <v>16</v>
      </c>
      <c r="K28" t="s">
        <v>14</v>
      </c>
      <c r="L28">
        <v>3</v>
      </c>
      <c r="M28" t="str">
        <f>TEXT(Table1[[#This Row],[Date]],"mmm")</f>
        <v>Feb</v>
      </c>
      <c r="N28" t="str">
        <f>"Q"&amp;ROUNDUP(MONTH(Table1[[#This Row],[Date]])/3,0)</f>
        <v>Q1</v>
      </c>
    </row>
    <row r="29" spans="1:14" x14ac:dyDescent="0.3">
      <c r="A29" s="1">
        <v>45179</v>
      </c>
      <c r="B29" t="s">
        <v>12</v>
      </c>
      <c r="C29" s="2">
        <v>2000</v>
      </c>
      <c r="D29" s="2">
        <v>5214.2857142857101</v>
      </c>
      <c r="E29" s="2">
        <v>6714.2857142857101</v>
      </c>
      <c r="F29">
        <v>100</v>
      </c>
      <c r="G29">
        <v>0.88</v>
      </c>
      <c r="H29">
        <v>0.94</v>
      </c>
      <c r="I29">
        <v>0.7</v>
      </c>
      <c r="J29" t="s">
        <v>19</v>
      </c>
      <c r="K29" t="s">
        <v>20</v>
      </c>
      <c r="L29">
        <v>2</v>
      </c>
      <c r="M29" t="str">
        <f>TEXT(Table1[[#This Row],[Date]],"mmm")</f>
        <v>Sep</v>
      </c>
      <c r="N29" t="str">
        <f>"Q"&amp;ROUNDUP(MONTH(Table1[[#This Row],[Date]])/3,0)</f>
        <v>Q3</v>
      </c>
    </row>
    <row r="30" spans="1:14" x14ac:dyDescent="0.3">
      <c r="A30" s="1">
        <v>45275</v>
      </c>
      <c r="B30" t="s">
        <v>12</v>
      </c>
      <c r="C30" s="2">
        <v>2000</v>
      </c>
      <c r="D30" s="2">
        <v>2957.1428571428601</v>
      </c>
      <c r="E30" s="2">
        <v>2857.1428571428573</v>
      </c>
      <c r="F30">
        <v>90</v>
      </c>
      <c r="G30">
        <v>0.75</v>
      </c>
      <c r="H30">
        <v>0.77</v>
      </c>
      <c r="I30">
        <v>0.84</v>
      </c>
      <c r="J30" t="s">
        <v>21</v>
      </c>
      <c r="K30" t="s">
        <v>23</v>
      </c>
      <c r="L30">
        <v>7</v>
      </c>
      <c r="M30" t="str">
        <f>TEXT(Table1[[#This Row],[Date]],"mmm")</f>
        <v>Dec</v>
      </c>
      <c r="N30" t="str">
        <f>"Q"&amp;ROUNDUP(MONTH(Table1[[#This Row],[Date]])/3,0)</f>
        <v>Q4</v>
      </c>
    </row>
    <row r="31" spans="1:14" x14ac:dyDescent="0.3">
      <c r="A31" s="1">
        <v>44997</v>
      </c>
      <c r="B31" t="s">
        <v>12</v>
      </c>
      <c r="C31" s="2">
        <v>1700</v>
      </c>
      <c r="D31" s="2">
        <v>2957.1428571428601</v>
      </c>
      <c r="E31" s="2">
        <v>2857.1428571428573</v>
      </c>
      <c r="F31">
        <v>80</v>
      </c>
      <c r="G31">
        <v>0.73</v>
      </c>
      <c r="H31">
        <v>0.96</v>
      </c>
      <c r="I31">
        <v>0.93</v>
      </c>
      <c r="J31" t="s">
        <v>21</v>
      </c>
      <c r="K31" t="s">
        <v>25</v>
      </c>
      <c r="L31">
        <v>4</v>
      </c>
      <c r="M31" t="str">
        <f>TEXT(Table1[[#This Row],[Date]],"mmm")</f>
        <v>Mar</v>
      </c>
      <c r="N31" t="str">
        <f>"Q"&amp;ROUNDUP(MONTH(Table1[[#This Row],[Date]])/3,0)</f>
        <v>Q1</v>
      </c>
    </row>
    <row r="32" spans="1:14" x14ac:dyDescent="0.3">
      <c r="A32" s="1">
        <v>45179</v>
      </c>
      <c r="B32" t="s">
        <v>12</v>
      </c>
      <c r="C32" s="2">
        <v>1600</v>
      </c>
      <c r="D32" s="2">
        <v>2957.1428571428601</v>
      </c>
      <c r="E32" s="2">
        <v>2857.1428571428573</v>
      </c>
      <c r="F32">
        <v>90</v>
      </c>
      <c r="G32">
        <v>0.93</v>
      </c>
      <c r="H32">
        <v>0.74</v>
      </c>
      <c r="I32">
        <v>0.93</v>
      </c>
      <c r="J32" t="s">
        <v>19</v>
      </c>
      <c r="K32" t="s">
        <v>14</v>
      </c>
      <c r="L32">
        <v>5</v>
      </c>
      <c r="M32" t="str">
        <f>TEXT(Table1[[#This Row],[Date]],"mmm")</f>
        <v>Sep</v>
      </c>
      <c r="N32" t="str">
        <f>"Q"&amp;ROUNDUP(MONTH(Table1[[#This Row],[Date]])/3,0)</f>
        <v>Q3</v>
      </c>
    </row>
    <row r="33" spans="1:14" x14ac:dyDescent="0.3">
      <c r="A33" s="1">
        <v>44928</v>
      </c>
      <c r="B33" t="s">
        <v>15</v>
      </c>
      <c r="C33" s="2">
        <v>1200</v>
      </c>
      <c r="D33" s="2">
        <v>2957.1428571428601</v>
      </c>
      <c r="E33" s="2">
        <v>2857.1428571428573</v>
      </c>
      <c r="F33">
        <v>110</v>
      </c>
      <c r="G33">
        <v>0.85</v>
      </c>
      <c r="H33">
        <v>0.7</v>
      </c>
      <c r="I33">
        <v>0.99</v>
      </c>
      <c r="J33" t="s">
        <v>21</v>
      </c>
      <c r="K33" t="s">
        <v>17</v>
      </c>
      <c r="L33">
        <v>6</v>
      </c>
      <c r="M33" t="str">
        <f>TEXT(Table1[[#This Row],[Date]],"mmm")</f>
        <v>Jan</v>
      </c>
      <c r="N33" t="str">
        <f>"Q"&amp;ROUNDUP(MONTH(Table1[[#This Row],[Date]])/3,0)</f>
        <v>Q1</v>
      </c>
    </row>
    <row r="34" spans="1:14" x14ac:dyDescent="0.3">
      <c r="A34" s="1">
        <v>45227</v>
      </c>
      <c r="B34" t="s">
        <v>18</v>
      </c>
      <c r="C34" s="2">
        <v>2500</v>
      </c>
      <c r="D34" s="2">
        <v>2957.1428571428601</v>
      </c>
      <c r="E34" s="2">
        <v>2857.1428571428573</v>
      </c>
      <c r="F34">
        <v>90</v>
      </c>
      <c r="G34">
        <v>0.92</v>
      </c>
      <c r="H34">
        <v>0.99</v>
      </c>
      <c r="I34">
        <v>0.88</v>
      </c>
      <c r="J34" t="s">
        <v>13</v>
      </c>
      <c r="K34" t="s">
        <v>20</v>
      </c>
      <c r="L34">
        <v>8</v>
      </c>
      <c r="M34" t="str">
        <f>TEXT(Table1[[#This Row],[Date]],"mmm")</f>
        <v>Oct</v>
      </c>
      <c r="N34" t="str">
        <f>"Q"&amp;ROUNDUP(MONTH(Table1[[#This Row],[Date]])/3,0)</f>
        <v>Q4</v>
      </c>
    </row>
    <row r="35" spans="1:14" x14ac:dyDescent="0.3">
      <c r="A35" s="1">
        <v>45103</v>
      </c>
      <c r="B35" t="s">
        <v>18</v>
      </c>
      <c r="C35" s="2">
        <v>2100</v>
      </c>
      <c r="D35" s="2">
        <v>2957.1428571428601</v>
      </c>
      <c r="E35" s="2">
        <v>2857.1428571428573</v>
      </c>
      <c r="F35">
        <v>100</v>
      </c>
      <c r="G35">
        <v>0.75</v>
      </c>
      <c r="H35">
        <v>0.97</v>
      </c>
      <c r="I35">
        <v>0.83</v>
      </c>
      <c r="J35" t="s">
        <v>16</v>
      </c>
      <c r="K35" t="s">
        <v>23</v>
      </c>
      <c r="L35">
        <v>4</v>
      </c>
      <c r="M35" t="str">
        <f>TEXT(Table1[[#This Row],[Date]],"mmm")</f>
        <v>Jun</v>
      </c>
      <c r="N35" t="str">
        <f>"Q"&amp;ROUNDUP(MONTH(Table1[[#This Row],[Date]])/3,0)</f>
        <v>Q2</v>
      </c>
    </row>
    <row r="36" spans="1:14" x14ac:dyDescent="0.3">
      <c r="A36" s="1">
        <v>45243</v>
      </c>
      <c r="B36" t="s">
        <v>18</v>
      </c>
      <c r="C36" s="2">
        <v>2150</v>
      </c>
      <c r="D36" s="2">
        <v>2957.1428571428601</v>
      </c>
      <c r="E36" s="2">
        <v>2857.1428571428573</v>
      </c>
      <c r="F36">
        <v>90</v>
      </c>
      <c r="G36">
        <v>0.77</v>
      </c>
      <c r="H36">
        <v>0.97</v>
      </c>
      <c r="I36">
        <v>0.78</v>
      </c>
      <c r="J36" t="s">
        <v>13</v>
      </c>
      <c r="K36" t="s">
        <v>25</v>
      </c>
      <c r="L36">
        <v>3</v>
      </c>
      <c r="M36" t="str">
        <f>TEXT(Table1[[#This Row],[Date]],"mmm")</f>
        <v>Nov</v>
      </c>
      <c r="N36" t="str">
        <f>"Q"&amp;ROUNDUP(MONTH(Table1[[#This Row],[Date]])/3,0)</f>
        <v>Q4</v>
      </c>
    </row>
    <row r="37" spans="1:14" x14ac:dyDescent="0.3">
      <c r="A37" s="1">
        <v>45107</v>
      </c>
      <c r="B37" t="s">
        <v>18</v>
      </c>
      <c r="C37" s="2">
        <v>2200</v>
      </c>
      <c r="D37" s="2">
        <v>757.142857142857</v>
      </c>
      <c r="E37" s="2">
        <v>857.14285714285711</v>
      </c>
      <c r="F37">
        <v>228</v>
      </c>
      <c r="G37">
        <v>0.79</v>
      </c>
      <c r="H37">
        <v>0.75</v>
      </c>
      <c r="I37">
        <v>0.93</v>
      </c>
      <c r="J37" t="s">
        <v>16</v>
      </c>
      <c r="K37" t="s">
        <v>14</v>
      </c>
      <c r="L37">
        <v>2</v>
      </c>
      <c r="M37" t="str">
        <f>TEXT(Table1[[#This Row],[Date]],"mmm")</f>
        <v>Jun</v>
      </c>
      <c r="N37" t="str">
        <f>"Q"&amp;ROUNDUP(MONTH(Table1[[#This Row],[Date]])/3,0)</f>
        <v>Q2</v>
      </c>
    </row>
    <row r="38" spans="1:14" x14ac:dyDescent="0.3">
      <c r="A38" s="1">
        <v>45030</v>
      </c>
      <c r="B38" t="s">
        <v>15</v>
      </c>
      <c r="C38" s="2">
        <v>1800</v>
      </c>
      <c r="D38" s="2">
        <v>757.142857142857</v>
      </c>
      <c r="E38" s="2">
        <v>857.14285714285711</v>
      </c>
      <c r="F38">
        <v>220</v>
      </c>
      <c r="G38">
        <v>0.81</v>
      </c>
      <c r="H38">
        <v>0.98</v>
      </c>
      <c r="I38">
        <v>0.86</v>
      </c>
      <c r="J38" t="s">
        <v>19</v>
      </c>
      <c r="K38" t="s">
        <v>17</v>
      </c>
      <c r="L38">
        <v>7</v>
      </c>
      <c r="M38" t="str">
        <f>TEXT(Table1[[#This Row],[Date]],"mmm")</f>
        <v>Apr</v>
      </c>
      <c r="N38" t="str">
        <f>"Q"&amp;ROUNDUP(MONTH(Table1[[#This Row],[Date]])/3,0)</f>
        <v>Q2</v>
      </c>
    </row>
    <row r="39" spans="1:14" x14ac:dyDescent="0.3">
      <c r="A39" s="1">
        <v>45266</v>
      </c>
      <c r="B39" t="s">
        <v>24</v>
      </c>
      <c r="C39" s="2">
        <v>1800</v>
      </c>
      <c r="D39" s="2">
        <v>757.142857142857</v>
      </c>
      <c r="E39" s="2">
        <v>857.14285714285711</v>
      </c>
      <c r="F39">
        <v>228</v>
      </c>
      <c r="G39">
        <v>0.86</v>
      </c>
      <c r="H39">
        <v>0.82</v>
      </c>
      <c r="I39">
        <v>0.86</v>
      </c>
      <c r="J39" t="s">
        <v>21</v>
      </c>
      <c r="K39" t="s">
        <v>20</v>
      </c>
      <c r="L39">
        <v>9</v>
      </c>
      <c r="M39" t="str">
        <f>TEXT(Table1[[#This Row],[Date]],"mmm")</f>
        <v>Dec</v>
      </c>
      <c r="N39" t="str">
        <f>"Q"&amp;ROUNDUP(MONTH(Table1[[#This Row],[Date]])/3,0)</f>
        <v>Q4</v>
      </c>
    </row>
    <row r="40" spans="1:14" x14ac:dyDescent="0.3">
      <c r="A40" s="1">
        <v>45054</v>
      </c>
      <c r="B40" t="s">
        <v>12</v>
      </c>
      <c r="C40" s="2">
        <v>1414</v>
      </c>
      <c r="D40" s="2">
        <v>757.142857142857</v>
      </c>
      <c r="E40" s="2">
        <v>857.14285714285711</v>
      </c>
      <c r="F40">
        <v>238</v>
      </c>
      <c r="G40">
        <v>0.72</v>
      </c>
      <c r="H40">
        <v>0.95</v>
      </c>
      <c r="I40">
        <v>0.9</v>
      </c>
      <c r="J40" t="s">
        <v>22</v>
      </c>
      <c r="K40" t="s">
        <v>23</v>
      </c>
      <c r="L40">
        <v>5</v>
      </c>
      <c r="M40" t="str">
        <f>TEXT(Table1[[#This Row],[Date]],"mmm")</f>
        <v>May</v>
      </c>
      <c r="N40" t="str">
        <f>"Q"&amp;ROUNDUP(MONTH(Table1[[#This Row],[Date]])/3,0)</f>
        <v>Q2</v>
      </c>
    </row>
    <row r="41" spans="1:14" x14ac:dyDescent="0.3">
      <c r="A41" s="1">
        <v>45019</v>
      </c>
      <c r="B41" t="s">
        <v>18</v>
      </c>
      <c r="C41" s="2">
        <v>2100</v>
      </c>
      <c r="D41" s="2">
        <v>757.142857142857</v>
      </c>
      <c r="E41" s="2">
        <v>857.14285714285711</v>
      </c>
      <c r="F41">
        <v>228</v>
      </c>
      <c r="G41">
        <v>0.71</v>
      </c>
      <c r="H41">
        <v>0.8</v>
      </c>
      <c r="I41">
        <v>0.76</v>
      </c>
      <c r="J41" t="s">
        <v>22</v>
      </c>
      <c r="K41" t="s">
        <v>25</v>
      </c>
      <c r="L41">
        <v>5</v>
      </c>
      <c r="M41" t="str">
        <f>TEXT(Table1[[#This Row],[Date]],"mmm")</f>
        <v>Apr</v>
      </c>
      <c r="N41" t="str">
        <f>"Q"&amp;ROUNDUP(MONTH(Table1[[#This Row],[Date]])/3,0)</f>
        <v>Q2</v>
      </c>
    </row>
    <row r="42" spans="1:14" x14ac:dyDescent="0.3">
      <c r="A42" s="1">
        <v>45078</v>
      </c>
      <c r="B42" t="s">
        <v>18</v>
      </c>
      <c r="C42" s="2">
        <v>2500</v>
      </c>
      <c r="D42" s="2">
        <v>757.142857142857</v>
      </c>
      <c r="E42" s="2">
        <v>857.14285714285711</v>
      </c>
      <c r="F42">
        <v>230</v>
      </c>
      <c r="G42">
        <v>0.97</v>
      </c>
      <c r="H42">
        <v>0.95</v>
      </c>
      <c r="I42">
        <v>0.85</v>
      </c>
      <c r="J42" t="s">
        <v>22</v>
      </c>
      <c r="K42" t="s">
        <v>14</v>
      </c>
      <c r="L42">
        <v>8</v>
      </c>
      <c r="M42" t="str">
        <f>TEXT(Table1[[#This Row],[Date]],"mmm")</f>
        <v>Jun</v>
      </c>
      <c r="N42" t="str">
        <f>"Q"&amp;ROUNDUP(MONTH(Table1[[#This Row],[Date]])/3,0)</f>
        <v>Q2</v>
      </c>
    </row>
    <row r="43" spans="1:14" x14ac:dyDescent="0.3">
      <c r="A43" s="1">
        <v>45233</v>
      </c>
      <c r="B43" t="s">
        <v>24</v>
      </c>
      <c r="C43" s="2">
        <v>2200</v>
      </c>
      <c r="D43" s="2">
        <v>757.142857142857</v>
      </c>
      <c r="E43" s="2">
        <v>857.14285714285711</v>
      </c>
      <c r="F43">
        <v>228</v>
      </c>
      <c r="G43">
        <v>0.95</v>
      </c>
      <c r="H43">
        <v>0.85</v>
      </c>
      <c r="I43">
        <v>0.91</v>
      </c>
      <c r="J43" t="s">
        <v>19</v>
      </c>
      <c r="K43" t="s">
        <v>17</v>
      </c>
      <c r="L43">
        <v>4</v>
      </c>
      <c r="M43" t="str">
        <f>TEXT(Table1[[#This Row],[Date]],"mmm")</f>
        <v>Nov</v>
      </c>
      <c r="N43" t="str">
        <f>"Q"&amp;ROUNDUP(MONTH(Table1[[#This Row],[Date]])/3,0)</f>
        <v>Q4</v>
      </c>
    </row>
    <row r="44" spans="1:14" x14ac:dyDescent="0.3">
      <c r="A44" s="1">
        <v>45060</v>
      </c>
      <c r="B44" t="s">
        <v>12</v>
      </c>
      <c r="C44" s="2">
        <v>2500</v>
      </c>
      <c r="D44" s="2">
        <v>914.28571428571399</v>
      </c>
      <c r="E44" s="2">
        <v>714.28571428571433</v>
      </c>
      <c r="F44">
        <v>250</v>
      </c>
      <c r="G44">
        <v>0.97</v>
      </c>
      <c r="H44">
        <v>0.7</v>
      </c>
      <c r="I44">
        <v>0.93</v>
      </c>
      <c r="J44" t="s">
        <v>19</v>
      </c>
      <c r="K44" t="s">
        <v>20</v>
      </c>
      <c r="L44">
        <v>3</v>
      </c>
      <c r="M44" t="str">
        <f>TEXT(Table1[[#This Row],[Date]],"mmm")</f>
        <v>May</v>
      </c>
      <c r="N44" t="str">
        <f>"Q"&amp;ROUNDUP(MONTH(Table1[[#This Row],[Date]])/3,0)</f>
        <v>Q2</v>
      </c>
    </row>
    <row r="45" spans="1:14" x14ac:dyDescent="0.3">
      <c r="A45" s="1">
        <v>45225</v>
      </c>
      <c r="B45" t="s">
        <v>18</v>
      </c>
      <c r="C45" s="2">
        <v>2200</v>
      </c>
      <c r="D45" s="2">
        <v>914.28571428571399</v>
      </c>
      <c r="E45" s="2">
        <v>714.28571428571433</v>
      </c>
      <c r="F45">
        <v>240</v>
      </c>
      <c r="G45">
        <v>0.9</v>
      </c>
      <c r="H45">
        <v>0.98</v>
      </c>
      <c r="I45">
        <v>0.96</v>
      </c>
      <c r="J45" t="s">
        <v>19</v>
      </c>
      <c r="K45" t="s">
        <v>23</v>
      </c>
      <c r="L45">
        <v>2</v>
      </c>
      <c r="M45" t="str">
        <f>TEXT(Table1[[#This Row],[Date]],"mmm")</f>
        <v>Oct</v>
      </c>
      <c r="N45" t="str">
        <f>"Q"&amp;ROUNDUP(MONTH(Table1[[#This Row],[Date]])/3,0)</f>
        <v>Q4</v>
      </c>
    </row>
    <row r="46" spans="1:14" x14ac:dyDescent="0.3">
      <c r="A46" s="1">
        <v>45226</v>
      </c>
      <c r="B46" t="s">
        <v>12</v>
      </c>
      <c r="C46" s="2">
        <v>2500</v>
      </c>
      <c r="D46" s="2">
        <v>914.28571428571399</v>
      </c>
      <c r="E46" s="2">
        <v>714.28571428571433</v>
      </c>
      <c r="F46">
        <v>270</v>
      </c>
      <c r="G46">
        <v>0.9</v>
      </c>
      <c r="H46">
        <v>0.95</v>
      </c>
      <c r="I46">
        <v>0.98</v>
      </c>
      <c r="J46" t="s">
        <v>19</v>
      </c>
      <c r="K46" t="s">
        <v>25</v>
      </c>
      <c r="L46">
        <v>3</v>
      </c>
      <c r="M46" t="str">
        <f>TEXT(Table1[[#This Row],[Date]],"mmm")</f>
        <v>Oct</v>
      </c>
      <c r="N46" t="str">
        <f>"Q"&amp;ROUNDUP(MONTH(Table1[[#This Row],[Date]])/3,0)</f>
        <v>Q4</v>
      </c>
    </row>
    <row r="47" spans="1:14" x14ac:dyDescent="0.3">
      <c r="A47" s="1">
        <v>44954</v>
      </c>
      <c r="B47" t="s">
        <v>15</v>
      </c>
      <c r="C47" s="2">
        <v>2000</v>
      </c>
      <c r="D47" s="2">
        <v>914.28571428571399</v>
      </c>
      <c r="E47" s="2">
        <v>714.28571428571433</v>
      </c>
      <c r="F47">
        <v>259</v>
      </c>
      <c r="G47">
        <v>0.96</v>
      </c>
      <c r="H47">
        <v>0.81</v>
      </c>
      <c r="I47">
        <v>0.85</v>
      </c>
      <c r="J47" t="s">
        <v>19</v>
      </c>
      <c r="K47" t="s">
        <v>14</v>
      </c>
      <c r="L47">
        <v>9</v>
      </c>
      <c r="M47" t="str">
        <f>TEXT(Table1[[#This Row],[Date]],"mmm")</f>
        <v>Jan</v>
      </c>
      <c r="N47" t="str">
        <f>"Q"&amp;ROUNDUP(MONTH(Table1[[#This Row],[Date]])/3,0)</f>
        <v>Q1</v>
      </c>
    </row>
    <row r="48" spans="1:14" x14ac:dyDescent="0.3">
      <c r="A48" s="1">
        <v>44955</v>
      </c>
      <c r="B48" t="s">
        <v>15</v>
      </c>
      <c r="C48" s="2">
        <v>2500</v>
      </c>
      <c r="D48" s="2">
        <v>914.28571428571399</v>
      </c>
      <c r="E48" s="2">
        <v>714.28571428571433</v>
      </c>
      <c r="F48">
        <v>260</v>
      </c>
      <c r="G48">
        <v>0.98</v>
      </c>
      <c r="H48">
        <v>0.84</v>
      </c>
      <c r="I48">
        <v>0.89</v>
      </c>
      <c r="J48" t="s">
        <v>19</v>
      </c>
      <c r="K48" t="s">
        <v>14</v>
      </c>
      <c r="L48">
        <v>5</v>
      </c>
      <c r="M48" t="str">
        <f>TEXT(Table1[[#This Row],[Date]],"mmm")</f>
        <v>Jan</v>
      </c>
      <c r="N48" t="str">
        <f>"Q"&amp;ROUNDUP(MONTH(Table1[[#This Row],[Date]])/3,0)</f>
        <v>Q1</v>
      </c>
    </row>
    <row r="49" spans="1:14" x14ac:dyDescent="0.3">
      <c r="A49" s="1">
        <v>44956</v>
      </c>
      <c r="B49" t="s">
        <v>15</v>
      </c>
      <c r="C49" s="2">
        <v>2500</v>
      </c>
      <c r="D49" s="2">
        <v>914.28571428571399</v>
      </c>
      <c r="E49" s="2">
        <v>714.28571428571433</v>
      </c>
      <c r="F49">
        <v>260</v>
      </c>
      <c r="G49">
        <v>0.76</v>
      </c>
      <c r="H49">
        <v>0.7</v>
      </c>
      <c r="I49">
        <v>0.86</v>
      </c>
      <c r="J49" t="s">
        <v>19</v>
      </c>
      <c r="K49" t="s">
        <v>20</v>
      </c>
      <c r="L49">
        <v>6</v>
      </c>
      <c r="M49" t="str">
        <f>TEXT(Table1[[#This Row],[Date]],"mmm")</f>
        <v>Jan</v>
      </c>
      <c r="N49" t="str">
        <f>"Q"&amp;ROUNDUP(MONTH(Table1[[#This Row],[Date]])/3,0)</f>
        <v>Q1</v>
      </c>
    </row>
    <row r="50" spans="1:14" x14ac:dyDescent="0.3">
      <c r="A50" s="1">
        <v>44957</v>
      </c>
      <c r="B50" t="s">
        <v>12</v>
      </c>
      <c r="C50" s="2">
        <v>2500</v>
      </c>
      <c r="D50" s="2">
        <v>914.28571428571399</v>
      </c>
      <c r="E50" s="2">
        <v>714.28571428571433</v>
      </c>
      <c r="F50">
        <v>261</v>
      </c>
      <c r="G50">
        <v>0.91</v>
      </c>
      <c r="H50">
        <v>0.77</v>
      </c>
      <c r="I50">
        <v>0.75</v>
      </c>
      <c r="J50" t="s">
        <v>13</v>
      </c>
      <c r="K50" t="s">
        <v>23</v>
      </c>
      <c r="L50">
        <v>8</v>
      </c>
      <c r="M50" t="str">
        <f>TEXT(Table1[[#This Row],[Date]],"mmm")</f>
        <v>Jan</v>
      </c>
      <c r="N50" t="str">
        <f>"Q"&amp;ROUNDUP(MONTH(Table1[[#This Row],[Date]])/3,0)</f>
        <v>Q1</v>
      </c>
    </row>
    <row r="51" spans="1:14" x14ac:dyDescent="0.3">
      <c r="A51" s="1">
        <v>45231</v>
      </c>
      <c r="B51" t="s">
        <v>12</v>
      </c>
      <c r="C51" s="2">
        <v>2500</v>
      </c>
      <c r="D51" s="2">
        <v>914.28571428571399</v>
      </c>
      <c r="E51" s="2">
        <v>714.28571428571433</v>
      </c>
      <c r="F51">
        <v>242</v>
      </c>
      <c r="G51">
        <v>0.79</v>
      </c>
      <c r="H51">
        <v>0.81</v>
      </c>
      <c r="I51">
        <v>0.74</v>
      </c>
      <c r="J51" t="s">
        <v>16</v>
      </c>
      <c r="K51" t="s">
        <v>25</v>
      </c>
      <c r="L51">
        <v>4</v>
      </c>
      <c r="M51" t="str">
        <f>TEXT(Table1[[#This Row],[Date]],"mmm")</f>
        <v>Nov</v>
      </c>
      <c r="N51" t="str">
        <f>"Q"&amp;ROUNDUP(MONTH(Table1[[#This Row],[Date]])/3,0)</f>
        <v>Q4</v>
      </c>
    </row>
    <row r="52" spans="1:14" x14ac:dyDescent="0.3">
      <c r="A52" s="1">
        <v>45232</v>
      </c>
      <c r="B52" t="s">
        <v>12</v>
      </c>
      <c r="C52" s="2">
        <v>2250</v>
      </c>
      <c r="D52" s="2">
        <v>914.28571428571399</v>
      </c>
      <c r="E52" s="2">
        <v>714.28571428571433</v>
      </c>
      <c r="F52">
        <v>250</v>
      </c>
      <c r="G52">
        <v>0.85</v>
      </c>
      <c r="H52">
        <v>0.82</v>
      </c>
      <c r="I52">
        <v>0.73</v>
      </c>
      <c r="J52" t="s">
        <v>19</v>
      </c>
      <c r="K52" t="s">
        <v>14</v>
      </c>
      <c r="L52">
        <v>3</v>
      </c>
      <c r="M52" t="str">
        <f>TEXT(Table1[[#This Row],[Date]],"mmm")</f>
        <v>Nov</v>
      </c>
      <c r="N52" t="str">
        <f>"Q"&amp;ROUNDUP(MONTH(Table1[[#This Row],[Date]])/3,0)</f>
        <v>Q4</v>
      </c>
    </row>
    <row r="53" spans="1:14" x14ac:dyDescent="0.3">
      <c r="A53" s="1">
        <v>45233</v>
      </c>
      <c r="B53" t="s">
        <v>12</v>
      </c>
      <c r="C53" s="2">
        <v>2500</v>
      </c>
      <c r="D53" s="2">
        <v>914.28571428571399</v>
      </c>
      <c r="E53" s="2">
        <v>714.28571428571433</v>
      </c>
      <c r="F53">
        <v>242</v>
      </c>
      <c r="G53">
        <v>0.88</v>
      </c>
      <c r="H53">
        <v>0.84</v>
      </c>
      <c r="I53">
        <v>0.75</v>
      </c>
      <c r="J53" t="s">
        <v>21</v>
      </c>
      <c r="K53" t="s">
        <v>17</v>
      </c>
      <c r="L53">
        <v>2</v>
      </c>
      <c r="M53" t="str">
        <f>TEXT(Table1[[#This Row],[Date]],"mmm")</f>
        <v>Nov</v>
      </c>
      <c r="N53" t="str">
        <f>"Q"&amp;ROUNDUP(MONTH(Table1[[#This Row],[Date]])/3,0)</f>
        <v>Q4</v>
      </c>
    </row>
    <row r="54" spans="1:14" x14ac:dyDescent="0.3">
      <c r="A54" s="1">
        <v>45060</v>
      </c>
      <c r="B54" t="s">
        <v>12</v>
      </c>
      <c r="C54" s="2">
        <v>2500</v>
      </c>
      <c r="D54" s="2">
        <v>914.28571428571399</v>
      </c>
      <c r="E54" s="2">
        <v>714.28571428571433</v>
      </c>
      <c r="F54">
        <v>242</v>
      </c>
      <c r="G54">
        <v>0.81</v>
      </c>
      <c r="H54">
        <v>0.92</v>
      </c>
      <c r="I54">
        <v>0.91</v>
      </c>
      <c r="J54" t="s">
        <v>13</v>
      </c>
      <c r="K54" t="s">
        <v>20</v>
      </c>
      <c r="L54">
        <v>7</v>
      </c>
      <c r="M54" t="str">
        <f>TEXT(Table1[[#This Row],[Date]],"mmm")</f>
        <v>May</v>
      </c>
      <c r="N54" t="str">
        <f>"Q"&amp;ROUNDUP(MONTH(Table1[[#This Row],[Date]])/3,0)</f>
        <v>Q2</v>
      </c>
    </row>
    <row r="55" spans="1:14" x14ac:dyDescent="0.3">
      <c r="A55" s="1">
        <v>45225</v>
      </c>
      <c r="B55" t="s">
        <v>18</v>
      </c>
      <c r="C55" s="2">
        <v>2500</v>
      </c>
      <c r="D55" s="2">
        <v>914.28571428571399</v>
      </c>
      <c r="E55" s="2">
        <v>714.28571428571433</v>
      </c>
      <c r="F55">
        <v>242</v>
      </c>
      <c r="G55">
        <v>0.84</v>
      </c>
      <c r="H55">
        <v>0.73</v>
      </c>
      <c r="I55">
        <v>0.99</v>
      </c>
      <c r="J55" t="s">
        <v>16</v>
      </c>
      <c r="K55" t="s">
        <v>23</v>
      </c>
      <c r="L55">
        <v>9</v>
      </c>
      <c r="M55" t="str">
        <f>TEXT(Table1[[#This Row],[Date]],"mmm")</f>
        <v>Oct</v>
      </c>
      <c r="N55" t="str">
        <f>"Q"&amp;ROUNDUP(MONTH(Table1[[#This Row],[Date]])/3,0)</f>
        <v>Q4</v>
      </c>
    </row>
    <row r="56" spans="1:14" x14ac:dyDescent="0.3">
      <c r="A56" s="1">
        <v>44995</v>
      </c>
      <c r="B56" t="s">
        <v>18</v>
      </c>
      <c r="C56" s="2">
        <v>2500</v>
      </c>
      <c r="D56" s="2">
        <v>914.28571428571399</v>
      </c>
      <c r="E56" s="2">
        <v>714.28571428571433</v>
      </c>
      <c r="F56">
        <v>240</v>
      </c>
      <c r="G56">
        <v>0.93</v>
      </c>
      <c r="H56">
        <v>0.79</v>
      </c>
      <c r="I56">
        <v>0.72</v>
      </c>
      <c r="J56" t="s">
        <v>19</v>
      </c>
      <c r="K56" t="s">
        <v>25</v>
      </c>
      <c r="L56">
        <v>5</v>
      </c>
      <c r="M56" t="str">
        <f>TEXT(Table1[[#This Row],[Date]],"mmm")</f>
        <v>Mar</v>
      </c>
      <c r="N56" t="str">
        <f>"Q"&amp;ROUNDUP(MONTH(Table1[[#This Row],[Date]])/3,0)</f>
        <v>Q1</v>
      </c>
    </row>
    <row r="57" spans="1:14" x14ac:dyDescent="0.3">
      <c r="A57" s="1">
        <v>45044</v>
      </c>
      <c r="B57" t="s">
        <v>18</v>
      </c>
      <c r="C57" s="2">
        <v>2500</v>
      </c>
      <c r="D57" s="2">
        <v>914.28571428571399</v>
      </c>
      <c r="E57" s="2">
        <v>714.28571428571433</v>
      </c>
      <c r="F57">
        <v>242</v>
      </c>
      <c r="G57">
        <v>0.84</v>
      </c>
      <c r="H57">
        <v>0.79</v>
      </c>
      <c r="I57">
        <v>0.8</v>
      </c>
      <c r="J57" t="s">
        <v>21</v>
      </c>
      <c r="K57" t="s">
        <v>14</v>
      </c>
      <c r="L57">
        <v>6</v>
      </c>
      <c r="M57" t="str">
        <f>TEXT(Table1[[#This Row],[Date]],"mmm")</f>
        <v>Apr</v>
      </c>
      <c r="N57" t="str">
        <f>"Q"&amp;ROUNDUP(MONTH(Table1[[#This Row],[Date]])/3,0)</f>
        <v>Q2</v>
      </c>
    </row>
    <row r="58" spans="1:14" x14ac:dyDescent="0.3">
      <c r="A58" s="1">
        <v>44945</v>
      </c>
      <c r="B58" t="s">
        <v>18</v>
      </c>
      <c r="C58" s="2">
        <v>2200</v>
      </c>
      <c r="D58" s="2">
        <v>385.71428571428601</v>
      </c>
      <c r="E58" s="2">
        <v>285.71428571428572</v>
      </c>
      <c r="F58">
        <v>285</v>
      </c>
      <c r="G58">
        <v>0.85</v>
      </c>
      <c r="H58">
        <v>0.91</v>
      </c>
      <c r="I58">
        <v>0.84</v>
      </c>
      <c r="J58" t="s">
        <v>13</v>
      </c>
      <c r="K58" t="s">
        <v>17</v>
      </c>
      <c r="L58">
        <v>8</v>
      </c>
      <c r="M58" t="str">
        <f>TEXT(Table1[[#This Row],[Date]],"mmm")</f>
        <v>Jan</v>
      </c>
      <c r="N58" t="str">
        <f>"Q"&amp;ROUNDUP(MONTH(Table1[[#This Row],[Date]])/3,0)</f>
        <v>Q1</v>
      </c>
    </row>
    <row r="59" spans="1:14" x14ac:dyDescent="0.3">
      <c r="A59" s="1">
        <v>45160</v>
      </c>
      <c r="B59" t="s">
        <v>15</v>
      </c>
      <c r="C59" s="2">
        <v>2150</v>
      </c>
      <c r="D59" s="2">
        <v>385.71428571428601</v>
      </c>
      <c r="E59" s="2">
        <v>285.71428571428572</v>
      </c>
      <c r="F59">
        <v>275</v>
      </c>
      <c r="G59">
        <v>0.86</v>
      </c>
      <c r="H59">
        <v>0.75</v>
      </c>
      <c r="I59">
        <v>0.96</v>
      </c>
      <c r="J59" t="s">
        <v>19</v>
      </c>
      <c r="K59" t="s">
        <v>20</v>
      </c>
      <c r="L59">
        <v>4</v>
      </c>
      <c r="M59" t="str">
        <f>TEXT(Table1[[#This Row],[Date]],"mmm")</f>
        <v>Aug</v>
      </c>
      <c r="N59" t="str">
        <f>"Q"&amp;ROUNDUP(MONTH(Table1[[#This Row],[Date]])/3,0)</f>
        <v>Q3</v>
      </c>
    </row>
    <row r="60" spans="1:14" x14ac:dyDescent="0.3">
      <c r="A60" s="1">
        <v>45147</v>
      </c>
      <c r="B60" t="s">
        <v>24</v>
      </c>
      <c r="C60" s="2">
        <v>2400</v>
      </c>
      <c r="D60" s="2">
        <v>385.71428571428601</v>
      </c>
      <c r="E60" s="2">
        <v>285.71428571428572</v>
      </c>
      <c r="F60">
        <v>285</v>
      </c>
      <c r="G60">
        <v>0.96</v>
      </c>
      <c r="H60">
        <v>0.77</v>
      </c>
      <c r="I60">
        <v>0.92</v>
      </c>
      <c r="J60" t="s">
        <v>21</v>
      </c>
      <c r="K60" t="s">
        <v>23</v>
      </c>
      <c r="L60">
        <v>3</v>
      </c>
      <c r="M60" t="str">
        <f>TEXT(Table1[[#This Row],[Date]],"mmm")</f>
        <v>Aug</v>
      </c>
      <c r="N60" t="str">
        <f>"Q"&amp;ROUNDUP(MONTH(Table1[[#This Row],[Date]])/3,0)</f>
        <v>Q3</v>
      </c>
    </row>
    <row r="61" spans="1:14" x14ac:dyDescent="0.3">
      <c r="A61" s="1">
        <v>45078</v>
      </c>
      <c r="B61" t="s">
        <v>18</v>
      </c>
      <c r="C61" s="2">
        <v>2450</v>
      </c>
      <c r="D61" s="2">
        <v>385.71428571428601</v>
      </c>
      <c r="E61" s="2">
        <v>285.71428571428572</v>
      </c>
      <c r="F61">
        <v>290</v>
      </c>
      <c r="G61">
        <v>0.99</v>
      </c>
      <c r="H61">
        <v>0.97</v>
      </c>
      <c r="I61">
        <v>0.73</v>
      </c>
      <c r="J61" t="s">
        <v>13</v>
      </c>
      <c r="K61" t="s">
        <v>25</v>
      </c>
      <c r="L61">
        <v>2</v>
      </c>
      <c r="M61" t="str">
        <f>TEXT(Table1[[#This Row],[Date]],"mmm")</f>
        <v>Jun</v>
      </c>
      <c r="N61" t="str">
        <f>"Q"&amp;ROUNDUP(MONTH(Table1[[#This Row],[Date]])/3,0)</f>
        <v>Q2</v>
      </c>
    </row>
    <row r="62" spans="1:14" x14ac:dyDescent="0.3">
      <c r="A62" s="1">
        <v>44986</v>
      </c>
      <c r="B62" t="s">
        <v>15</v>
      </c>
      <c r="C62" s="2">
        <v>2500</v>
      </c>
      <c r="D62" s="2">
        <v>385.71428571428601</v>
      </c>
      <c r="E62" s="2">
        <v>285.71428571428572</v>
      </c>
      <c r="F62">
        <v>310</v>
      </c>
      <c r="G62">
        <v>0.77</v>
      </c>
      <c r="H62">
        <v>0.72</v>
      </c>
      <c r="I62">
        <v>0.85</v>
      </c>
      <c r="J62" t="s">
        <v>16</v>
      </c>
      <c r="K62" t="s">
        <v>14</v>
      </c>
      <c r="L62">
        <v>7</v>
      </c>
      <c r="M62" t="str">
        <f>TEXT(Table1[[#This Row],[Date]],"mmm")</f>
        <v>Mar</v>
      </c>
      <c r="N62" t="str">
        <f>"Q"&amp;ROUNDUP(MONTH(Table1[[#This Row],[Date]])/3,0)</f>
        <v>Q1</v>
      </c>
    </row>
    <row r="63" spans="1:14" x14ac:dyDescent="0.3">
      <c r="A63" s="1">
        <v>45257</v>
      </c>
      <c r="B63" t="s">
        <v>24</v>
      </c>
      <c r="C63" s="2">
        <v>2450</v>
      </c>
      <c r="D63" s="2">
        <v>385.71428571428601</v>
      </c>
      <c r="E63" s="2">
        <v>285.71428571428572</v>
      </c>
      <c r="F63">
        <v>270</v>
      </c>
      <c r="G63">
        <v>0.77</v>
      </c>
      <c r="H63">
        <v>0.96</v>
      </c>
      <c r="I63">
        <v>0.78</v>
      </c>
      <c r="J63" t="s">
        <v>19</v>
      </c>
      <c r="K63" t="s">
        <v>17</v>
      </c>
      <c r="L63">
        <v>9</v>
      </c>
      <c r="M63" t="str">
        <f>TEXT(Table1[[#This Row],[Date]],"mmm")</f>
        <v>Nov</v>
      </c>
      <c r="N63" t="str">
        <f>"Q"&amp;ROUNDUP(MONTH(Table1[[#This Row],[Date]])/3,0)</f>
        <v>Q4</v>
      </c>
    </row>
    <row r="64" spans="1:14" x14ac:dyDescent="0.3">
      <c r="A64" s="1">
        <v>45213</v>
      </c>
      <c r="B64" t="s">
        <v>18</v>
      </c>
      <c r="C64" s="2">
        <v>2400</v>
      </c>
      <c r="D64" s="2">
        <v>385.71428571428601</v>
      </c>
      <c r="E64" s="2">
        <v>285.71428571428572</v>
      </c>
      <c r="F64">
        <v>285</v>
      </c>
      <c r="G64">
        <v>0.78</v>
      </c>
      <c r="H64">
        <v>0.8</v>
      </c>
      <c r="I64">
        <v>0.85</v>
      </c>
      <c r="J64" t="s">
        <v>21</v>
      </c>
      <c r="K64" t="s">
        <v>20</v>
      </c>
      <c r="L64">
        <v>5</v>
      </c>
      <c r="M64" t="str">
        <f>TEXT(Table1[[#This Row],[Date]],"mmm")</f>
        <v>Oct</v>
      </c>
      <c r="N64" t="str">
        <f>"Q"&amp;ROUNDUP(MONTH(Table1[[#This Row],[Date]])/3,0)</f>
        <v>Q4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Bharath .N</cp:lastModifiedBy>
  <dcterms:created xsi:type="dcterms:W3CDTF">2025-01-31T08:22:50Z</dcterms:created>
  <dcterms:modified xsi:type="dcterms:W3CDTF">2026-01-11T17:38:32Z</dcterms:modified>
</cp:coreProperties>
</file>